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4940" windowHeight="9150" activeTab="1"/>
  </bookViews>
  <sheets>
    <sheet name="OEE总综合效率表" sheetId="6" r:id="rId1"/>
    <sheet name="推移图" sheetId="7" r:id="rId2"/>
  </sheets>
  <externalReferences>
    <externalReference r:id="rId3"/>
  </externalReferences>
  <calcPr calcId="125725"/>
</workbook>
</file>

<file path=xl/calcChain.xml><?xml version="1.0" encoding="utf-8"?>
<calcChain xmlns="http://schemas.openxmlformats.org/spreadsheetml/2006/main">
  <c r="AJ7" i="6"/>
  <c r="AJ8"/>
  <c r="D4" i="7" s="1"/>
  <c r="AJ9" i="6"/>
  <c r="E4" i="7" s="1"/>
  <c r="AJ10" i="6"/>
  <c r="F4" i="7" s="1"/>
  <c r="AJ11" i="6"/>
  <c r="G4" i="7" s="1"/>
  <c r="AJ12" i="6"/>
  <c r="H4" i="7" s="1"/>
  <c r="AJ13" i="6"/>
  <c r="I4" i="7" s="1"/>
  <c r="AJ14" i="6"/>
  <c r="AJ15"/>
  <c r="AJ16"/>
  <c r="AJ17"/>
  <c r="AJ18"/>
  <c r="AJ19"/>
  <c r="AJ20"/>
  <c r="P4" i="7" s="1"/>
  <c r="AJ21" i="6"/>
  <c r="Q4" i="7" s="1"/>
  <c r="AJ22" i="6"/>
  <c r="R4" i="7" s="1"/>
  <c r="AJ23" i="6"/>
  <c r="S4" i="7" s="1"/>
  <c r="AJ24" i="6"/>
  <c r="AJ25"/>
  <c r="AJ26"/>
  <c r="AJ27"/>
  <c r="AJ28"/>
  <c r="X4" i="7" s="1"/>
  <c r="AJ29" i="6"/>
  <c r="Y4" i="7" s="1"/>
  <c r="AJ30" i="6"/>
  <c r="Z4" i="7" s="1"/>
  <c r="AJ31" i="6"/>
  <c r="AA4" i="7" s="1"/>
  <c r="AJ32" i="6"/>
  <c r="AB4" i="7" s="1"/>
  <c r="AJ33" i="6"/>
  <c r="AC4" i="7" s="1"/>
  <c r="AJ34" i="6"/>
  <c r="AJ35"/>
  <c r="AJ36"/>
  <c r="AJ37"/>
  <c r="C4" i="7"/>
  <c r="AK38" i="6"/>
  <c r="AK39"/>
  <c r="AK40"/>
  <c r="AK7"/>
  <c r="AJ39"/>
  <c r="AJ40"/>
  <c r="AI38"/>
  <c r="C2" i="7"/>
  <c r="C8" s="1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AH6" s="1"/>
  <c r="I6"/>
  <c r="H6"/>
  <c r="G6"/>
  <c r="F6"/>
  <c r="E6"/>
  <c r="D6"/>
  <c r="C6"/>
  <c r="AG5"/>
  <c r="AF5"/>
  <c r="AE5"/>
  <c r="AD5"/>
  <c r="AC5"/>
  <c r="AB5"/>
  <c r="AA5"/>
  <c r="Z5"/>
  <c r="Y5"/>
  <c r="X5"/>
  <c r="X7" s="1"/>
  <c r="X10" s="1"/>
  <c r="W5"/>
  <c r="W7" s="1"/>
  <c r="V5"/>
  <c r="V7" s="1"/>
  <c r="U5"/>
  <c r="U7" s="1"/>
  <c r="T5"/>
  <c r="T7" s="1"/>
  <c r="S5"/>
  <c r="S7" s="1"/>
  <c r="R5"/>
  <c r="R7" s="1"/>
  <c r="Q5"/>
  <c r="Q7" s="1"/>
  <c r="P5"/>
  <c r="O5"/>
  <c r="O7" s="1"/>
  <c r="N5"/>
  <c r="M5"/>
  <c r="L5"/>
  <c r="K5"/>
  <c r="J5"/>
  <c r="J7" s="1"/>
  <c r="I5"/>
  <c r="I7" s="1"/>
  <c r="H5"/>
  <c r="G5"/>
  <c r="F5"/>
  <c r="E5"/>
  <c r="D5"/>
  <c r="D7" s="1"/>
  <c r="C5"/>
  <c r="AH5" s="1"/>
  <c r="AG4"/>
  <c r="AF4"/>
  <c r="AE4"/>
  <c r="AD4"/>
  <c r="W4"/>
  <c r="V4"/>
  <c r="U4"/>
  <c r="T4"/>
  <c r="O4"/>
  <c r="N4"/>
  <c r="M4"/>
  <c r="L4"/>
  <c r="K4"/>
  <c r="J4"/>
  <c r="AG3"/>
  <c r="AG9" s="1"/>
  <c r="AF3"/>
  <c r="AF9" s="1"/>
  <c r="AE3"/>
  <c r="AE9" s="1"/>
  <c r="AD3"/>
  <c r="AC3"/>
  <c r="AB3"/>
  <c r="AA3"/>
  <c r="Z3"/>
  <c r="Z9" s="1"/>
  <c r="Y3"/>
  <c r="Y9" s="1"/>
  <c r="X3"/>
  <c r="W3"/>
  <c r="V3"/>
  <c r="U3"/>
  <c r="T3"/>
  <c r="S3"/>
  <c r="R3"/>
  <c r="Q3"/>
  <c r="P3"/>
  <c r="O3"/>
  <c r="N3"/>
  <c r="M3"/>
  <c r="L3"/>
  <c r="K3"/>
  <c r="J3"/>
  <c r="I3"/>
  <c r="H3"/>
  <c r="G3"/>
  <c r="F3"/>
  <c r="F9" s="1"/>
  <c r="E3"/>
  <c r="E9" s="1"/>
  <c r="D3"/>
  <c r="D9" s="1"/>
  <c r="C3"/>
  <c r="AH3" s="1"/>
  <c r="AG2"/>
  <c r="AG8" s="1"/>
  <c r="AF2"/>
  <c r="AF8" s="1"/>
  <c r="AE2"/>
  <c r="AE8" s="1"/>
  <c r="AD2"/>
  <c r="AD8" s="1"/>
  <c r="AC2"/>
  <c r="AC8" s="1"/>
  <c r="AB2"/>
  <c r="AB8" s="1"/>
  <c r="AA2"/>
  <c r="AA8" s="1"/>
  <c r="Z2"/>
  <c r="Z8" s="1"/>
  <c r="Y2"/>
  <c r="Y8" s="1"/>
  <c r="X2"/>
  <c r="X8" s="1"/>
  <c r="W2"/>
  <c r="V2"/>
  <c r="U2"/>
  <c r="T2"/>
  <c r="S2"/>
  <c r="R2"/>
  <c r="Q2"/>
  <c r="Q8" s="1"/>
  <c r="P2"/>
  <c r="P8" s="1"/>
  <c r="O2"/>
  <c r="O8" s="1"/>
  <c r="N2"/>
  <c r="N8" s="1"/>
  <c r="M2"/>
  <c r="M8" s="1"/>
  <c r="L2"/>
  <c r="L8" s="1"/>
  <c r="K2"/>
  <c r="J2"/>
  <c r="I2"/>
  <c r="H2"/>
  <c r="G2"/>
  <c r="F2"/>
  <c r="F8" s="1"/>
  <c r="E2"/>
  <c r="E8" s="1"/>
  <c r="D2"/>
  <c r="D8" s="1"/>
  <c r="X9"/>
  <c r="W9"/>
  <c r="V9"/>
  <c r="U9"/>
  <c r="T9"/>
  <c r="S9"/>
  <c r="R8"/>
  <c r="K8"/>
  <c r="AD7"/>
  <c r="AC7"/>
  <c r="AB7"/>
  <c r="AA7"/>
  <c r="Z7"/>
  <c r="Y7"/>
  <c r="H7"/>
  <c r="G7"/>
  <c r="F7"/>
  <c r="E7"/>
  <c r="AG7"/>
  <c r="AF7"/>
  <c r="AE7"/>
  <c r="P7"/>
  <c r="M7"/>
  <c r="L7"/>
  <c r="K7"/>
  <c r="AD9"/>
  <c r="AC9"/>
  <c r="AB9"/>
  <c r="AA9"/>
  <c r="R9"/>
  <c r="Q9"/>
  <c r="P9"/>
  <c r="O9"/>
  <c r="M9"/>
  <c r="L9"/>
  <c r="K9"/>
  <c r="J9"/>
  <c r="I9"/>
  <c r="H9"/>
  <c r="G9"/>
  <c r="W8"/>
  <c r="V8"/>
  <c r="U8"/>
  <c r="T8"/>
  <c r="S8"/>
  <c r="J8"/>
  <c r="I8"/>
  <c r="H8"/>
  <c r="G8"/>
  <c r="AH4" l="1"/>
  <c r="AH9" s="1"/>
  <c r="R10"/>
  <c r="AJ38" i="6"/>
  <c r="C7" i="7"/>
  <c r="C10" s="1"/>
  <c r="C9"/>
  <c r="Z10"/>
  <c r="H10"/>
  <c r="Y10"/>
  <c r="G10"/>
  <c r="D10"/>
  <c r="E10"/>
  <c r="F10"/>
  <c r="AC10"/>
  <c r="AA10"/>
  <c r="W10"/>
  <c r="U10"/>
  <c r="P10"/>
  <c r="S10"/>
  <c r="AD10"/>
  <c r="V10"/>
  <c r="T10"/>
  <c r="AH7"/>
  <c r="Q10"/>
  <c r="AB10"/>
  <c r="M10"/>
  <c r="AG10"/>
  <c r="O10"/>
  <c r="L10"/>
  <c r="AF10"/>
  <c r="J10"/>
  <c r="K10"/>
  <c r="AE10"/>
  <c r="I10"/>
  <c r="N9"/>
  <c r="AH2"/>
  <c r="N7"/>
  <c r="AH8" l="1"/>
  <c r="AH10" s="1"/>
  <c r="N10"/>
  <c r="AA8" i="6"/>
  <c r="AA38"/>
  <c r="AA9"/>
  <c r="AA10"/>
  <c r="AA11"/>
  <c r="AA12"/>
  <c r="AA13"/>
  <c r="AA14"/>
  <c r="AA15"/>
  <c r="AA16"/>
  <c r="AA17"/>
  <c r="AA18"/>
  <c r="AA19"/>
  <c r="AA20"/>
  <c r="AA21"/>
  <c r="AA22"/>
  <c r="AA23"/>
  <c r="AA24"/>
  <c r="AA25"/>
  <c r="AA26"/>
  <c r="AA27"/>
  <c r="AA28"/>
  <c r="AA29"/>
  <c r="AA30"/>
  <c r="AA31"/>
  <c r="AA32"/>
  <c r="AA33"/>
  <c r="AA34"/>
  <c r="AA35"/>
  <c r="AA36"/>
  <c r="AA37"/>
  <c r="AA7"/>
  <c r="AI8"/>
  <c r="AM8"/>
  <c r="AI9"/>
  <c r="AI10"/>
  <c r="AM10"/>
  <c r="AI11"/>
  <c r="AO11"/>
  <c r="AI12"/>
  <c r="AN12"/>
  <c r="AP12" s="1"/>
  <c r="AI13"/>
  <c r="AM13"/>
  <c r="AI14"/>
  <c r="AO14"/>
  <c r="AI15"/>
  <c r="AI16"/>
  <c r="AI17"/>
  <c r="AI18"/>
  <c r="AO18"/>
  <c r="AI19"/>
  <c r="AM19"/>
  <c r="AI20"/>
  <c r="AI21"/>
  <c r="AM21"/>
  <c r="AI22"/>
  <c r="AM22"/>
  <c r="AI23"/>
  <c r="AN23"/>
  <c r="AP23" s="1"/>
  <c r="AI24"/>
  <c r="AN24"/>
  <c r="AP24" s="1"/>
  <c r="AI25"/>
  <c r="AM25"/>
  <c r="AI26"/>
  <c r="AI27"/>
  <c r="AI28"/>
  <c r="AI29"/>
  <c r="AI30"/>
  <c r="AI31"/>
  <c r="AN31"/>
  <c r="AI32"/>
  <c r="AI33"/>
  <c r="AO33"/>
  <c r="AI34"/>
  <c r="AI35"/>
  <c r="AN35"/>
  <c r="AP35"/>
  <c r="AI36"/>
  <c r="AI37"/>
  <c r="AI7"/>
  <c r="AM7"/>
  <c r="AN19"/>
  <c r="AP19" s="1"/>
  <c r="AN20"/>
  <c r="AP20" s="1"/>
  <c r="AN28"/>
  <c r="AP28" s="1"/>
  <c r="AN29"/>
  <c r="AP29" s="1"/>
  <c r="AO30"/>
  <c r="AM16"/>
  <c r="AO17"/>
  <c r="Z38"/>
  <c r="J40"/>
  <c r="J39"/>
  <c r="K39"/>
  <c r="J38"/>
  <c r="K38"/>
  <c r="I38"/>
  <c r="AH9"/>
  <c r="AQ7"/>
  <c r="AS37"/>
  <c r="AS36"/>
  <c r="AS35"/>
  <c r="AS34"/>
  <c r="AS33"/>
  <c r="AS32"/>
  <c r="AS31"/>
  <c r="AS30"/>
  <c r="AS29"/>
  <c r="AS28"/>
  <c r="AS27"/>
  <c r="AS26"/>
  <c r="AS25"/>
  <c r="AS24"/>
  <c r="AS23"/>
  <c r="AS22"/>
  <c r="AS21"/>
  <c r="AS20"/>
  <c r="AS19"/>
  <c r="AS18"/>
  <c r="AS17"/>
  <c r="AS16"/>
  <c r="AS15"/>
  <c r="AS14"/>
  <c r="AS13"/>
  <c r="AS12"/>
  <c r="AS11"/>
  <c r="AS10"/>
  <c r="AS9"/>
  <c r="AS8"/>
  <c r="AR37"/>
  <c r="AR36"/>
  <c r="AR35"/>
  <c r="AR34"/>
  <c r="AR33"/>
  <c r="AR32"/>
  <c r="AR31"/>
  <c r="AR30"/>
  <c r="AR29"/>
  <c r="AR28"/>
  <c r="AR27"/>
  <c r="AR26"/>
  <c r="AR25"/>
  <c r="AR24"/>
  <c r="AR23"/>
  <c r="AR22"/>
  <c r="AR21"/>
  <c r="AR20"/>
  <c r="AR19"/>
  <c r="AR18"/>
  <c r="AR17"/>
  <c r="AR16"/>
  <c r="AR15"/>
  <c r="AR14"/>
  <c r="AR13"/>
  <c r="AR12"/>
  <c r="AR11"/>
  <c r="AR10"/>
  <c r="AR9"/>
  <c r="AR8"/>
  <c r="AR7"/>
  <c r="AU37"/>
  <c r="AU36"/>
  <c r="AU35"/>
  <c r="AU34"/>
  <c r="AU33"/>
  <c r="AU32"/>
  <c r="AU31"/>
  <c r="AU30"/>
  <c r="AU29"/>
  <c r="AU28"/>
  <c r="AU27"/>
  <c r="AU26"/>
  <c r="AU25"/>
  <c r="AU24"/>
  <c r="AU23"/>
  <c r="AU22"/>
  <c r="AU21"/>
  <c r="AU20"/>
  <c r="AU19"/>
  <c r="AU18"/>
  <c r="AU17"/>
  <c r="AU16"/>
  <c r="AU15"/>
  <c r="AU14"/>
  <c r="AU13"/>
  <c r="AU12"/>
  <c r="AU11"/>
  <c r="AU10"/>
  <c r="AU9"/>
  <c r="AU8"/>
  <c r="AU7"/>
  <c r="AT37"/>
  <c r="AT36"/>
  <c r="AT35"/>
  <c r="AT34"/>
  <c r="AT33"/>
  <c r="AT32"/>
  <c r="AT31"/>
  <c r="AT30"/>
  <c r="AT29"/>
  <c r="AT28"/>
  <c r="AT27"/>
  <c r="AT26"/>
  <c r="AT25"/>
  <c r="AT24"/>
  <c r="AT23"/>
  <c r="AT22"/>
  <c r="AT21"/>
  <c r="AT20"/>
  <c r="AT19"/>
  <c r="AT18"/>
  <c r="AT17"/>
  <c r="AT16"/>
  <c r="AT15"/>
  <c r="AT14"/>
  <c r="AT13"/>
  <c r="AT12"/>
  <c r="AT11"/>
  <c r="AT10"/>
  <c r="AT9"/>
  <c r="AT8"/>
  <c r="AT7"/>
  <c r="AQ37"/>
  <c r="AQ36"/>
  <c r="AQ35"/>
  <c r="AQ34"/>
  <c r="AQ33"/>
  <c r="AQ32"/>
  <c r="AQ31"/>
  <c r="AQ30"/>
  <c r="AQ29"/>
  <c r="AQ28"/>
  <c r="AQ27"/>
  <c r="AQ26"/>
  <c r="AQ25"/>
  <c r="AQ24"/>
  <c r="AQ23"/>
  <c r="AQ22"/>
  <c r="AQ21"/>
  <c r="AQ20"/>
  <c r="AQ19"/>
  <c r="AQ18"/>
  <c r="AQ17"/>
  <c r="AQ16"/>
  <c r="AQ15"/>
  <c r="AQ14"/>
  <c r="AQ13"/>
  <c r="AQ12"/>
  <c r="AQ11"/>
  <c r="AQ10"/>
  <c r="AQ9"/>
  <c r="AQ8"/>
  <c r="AL37"/>
  <c r="AL36"/>
  <c r="AL35"/>
  <c r="AL34"/>
  <c r="AL33"/>
  <c r="AL32"/>
  <c r="AL31"/>
  <c r="AL30"/>
  <c r="AL29"/>
  <c r="AL28"/>
  <c r="AL27"/>
  <c r="AL26"/>
  <c r="AL25"/>
  <c r="AL24"/>
  <c r="AL23"/>
  <c r="AL22"/>
  <c r="AL21"/>
  <c r="AL20"/>
  <c r="AL19"/>
  <c r="AL18"/>
  <c r="AL17"/>
  <c r="AL16"/>
  <c r="AL15"/>
  <c r="AL14"/>
  <c r="AL13"/>
  <c r="AL12"/>
  <c r="AL11"/>
  <c r="AL10"/>
  <c r="AK37"/>
  <c r="AK36"/>
  <c r="AK35"/>
  <c r="AK34"/>
  <c r="AK33"/>
  <c r="AK32"/>
  <c r="AK31"/>
  <c r="AK30"/>
  <c r="AK29"/>
  <c r="AK28"/>
  <c r="AK27"/>
  <c r="AK26"/>
  <c r="AK25"/>
  <c r="AK24"/>
  <c r="AK23"/>
  <c r="AK22"/>
  <c r="AK21"/>
  <c r="AK20"/>
  <c r="AK19"/>
  <c r="AK18"/>
  <c r="AK17"/>
  <c r="AK16"/>
  <c r="AK15"/>
  <c r="AK14"/>
  <c r="AK13"/>
  <c r="AK12"/>
  <c r="AK11"/>
  <c r="AK10"/>
  <c r="AK9"/>
  <c r="AL9"/>
  <c r="AK8"/>
  <c r="AL8"/>
  <c r="AN26"/>
  <c r="AN25"/>
  <c r="AM24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8"/>
  <c r="AL7"/>
  <c r="I39"/>
  <c r="AG39"/>
  <c r="AU39"/>
  <c r="AF39"/>
  <c r="AE39"/>
  <c r="AT39"/>
  <c r="AD39"/>
  <c r="AR39"/>
  <c r="AC39"/>
  <c r="AB39"/>
  <c r="Y39"/>
  <c r="X39"/>
  <c r="W39"/>
  <c r="V39"/>
  <c r="U39"/>
  <c r="T39"/>
  <c r="S39"/>
  <c r="R39"/>
  <c r="Q39"/>
  <c r="P39"/>
  <c r="O39"/>
  <c r="N39"/>
  <c r="M39"/>
  <c r="L39"/>
  <c r="H39"/>
  <c r="AH39"/>
  <c r="G39"/>
  <c r="F39"/>
  <c r="E39"/>
  <c r="D39"/>
  <c r="Q40"/>
  <c r="C39"/>
  <c r="B39"/>
  <c r="AI39"/>
  <c r="AG38"/>
  <c r="AU38"/>
  <c r="AF38"/>
  <c r="AE38"/>
  <c r="AS38"/>
  <c r="AD38"/>
  <c r="AD40"/>
  <c r="AR40"/>
  <c r="AC38"/>
  <c r="AC40"/>
  <c r="AB38"/>
  <c r="AB40"/>
  <c r="Y38"/>
  <c r="Y40"/>
  <c r="X38"/>
  <c r="X40"/>
  <c r="W38"/>
  <c r="V38"/>
  <c r="V40"/>
  <c r="U38"/>
  <c r="U40"/>
  <c r="T38"/>
  <c r="T40"/>
  <c r="S38"/>
  <c r="S40"/>
  <c r="R38"/>
  <c r="Q38"/>
  <c r="P38"/>
  <c r="P40"/>
  <c r="O38"/>
  <c r="N38"/>
  <c r="M38"/>
  <c r="M40"/>
  <c r="L38"/>
  <c r="L40"/>
  <c r="H38"/>
  <c r="AH38"/>
  <c r="G38"/>
  <c r="F38"/>
  <c r="F40"/>
  <c r="E38"/>
  <c r="E40"/>
  <c r="D38"/>
  <c r="D40"/>
  <c r="C38"/>
  <c r="C40"/>
  <c r="B38"/>
  <c r="AH7"/>
  <c r="AN18"/>
  <c r="AO25"/>
  <c r="AP25" s="1"/>
  <c r="AM20"/>
  <c r="O40"/>
  <c r="H40"/>
  <c r="AH40"/>
  <c r="G40"/>
  <c r="AF40"/>
  <c r="AT38"/>
  <c r="AQ38"/>
  <c r="AL39"/>
  <c r="I40"/>
  <c r="AE40"/>
  <c r="AS40"/>
  <c r="N40"/>
  <c r="AS7"/>
  <c r="AS39"/>
  <c r="R40"/>
  <c r="W40"/>
  <c r="AG40"/>
  <c r="AU40"/>
  <c r="AN27"/>
  <c r="AP27" s="1"/>
  <c r="AO27"/>
  <c r="AM39"/>
  <c r="AN39"/>
  <c r="AP39" s="1"/>
  <c r="AO39"/>
  <c r="AL40"/>
  <c r="AM37"/>
  <c r="K40"/>
  <c r="AO13"/>
  <c r="AM26"/>
  <c r="AO24"/>
  <c r="AL38"/>
  <c r="AR38"/>
  <c r="AT40"/>
  <c r="B40"/>
  <c r="AI40"/>
  <c r="AM40"/>
  <c r="AN40"/>
  <c r="AP40" s="1"/>
  <c r="AO40"/>
  <c r="AM17"/>
  <c r="AM36"/>
  <c r="AN22"/>
  <c r="AO10"/>
  <c r="AN30"/>
  <c r="AP30" s="1"/>
  <c r="AN17"/>
  <c r="AP17" s="1"/>
  <c r="AO28"/>
  <c r="AO8"/>
  <c r="AM28"/>
  <c r="AM30"/>
  <c r="AM9"/>
  <c r="AN16"/>
  <c r="AP16" s="1"/>
  <c r="AN9"/>
  <c r="AP9" s="1"/>
  <c r="AN37"/>
  <c r="AP37" s="1"/>
  <c r="AO9"/>
  <c r="AM12"/>
  <c r="AO15"/>
  <c r="AO36"/>
  <c r="AO20"/>
  <c r="AM29"/>
  <c r="AN10"/>
  <c r="AP10" s="1"/>
  <c r="AO29"/>
  <c r="AO35"/>
  <c r="AN8"/>
  <c r="AP8" s="1"/>
  <c r="AO37"/>
  <c r="AN14"/>
  <c r="AP14" s="1"/>
  <c r="AP31"/>
  <c r="AP26"/>
  <c r="AP18"/>
  <c r="AP22"/>
  <c r="AO31"/>
  <c r="AM31"/>
  <c r="AM32"/>
  <c r="AN34"/>
  <c r="AO22"/>
  <c r="AN11"/>
  <c r="AP11" s="1"/>
  <c r="AM11"/>
  <c r="AN33"/>
  <c r="AP33" s="1"/>
  <c r="AM14"/>
  <c r="AM18"/>
  <c r="AO19"/>
  <c r="AN15"/>
  <c r="AP15" s="1"/>
  <c r="AO34"/>
  <c r="AP34" s="1"/>
  <c r="AM15"/>
  <c r="AO26"/>
  <c r="AM27"/>
  <c r="AO16"/>
  <c r="AM34"/>
  <c r="AN21"/>
  <c r="AO32"/>
  <c r="AO21"/>
  <c r="AM33"/>
  <c r="AN32"/>
  <c r="AP32" s="1"/>
  <c r="AN13"/>
  <c r="AP13" s="1"/>
  <c r="AO12"/>
  <c r="AM23"/>
  <c r="AO23"/>
  <c r="AM35"/>
  <c r="AN36"/>
  <c r="AP36" s="1"/>
  <c r="AO7"/>
  <c r="AN7"/>
  <c r="AP7" s="1"/>
  <c r="AP21"/>
  <c r="AN38"/>
  <c r="AO38"/>
  <c r="AM38"/>
  <c r="AP38" l="1"/>
</calcChain>
</file>

<file path=xl/comments1.xml><?xml version="1.0" encoding="utf-8"?>
<comments xmlns="http://schemas.openxmlformats.org/spreadsheetml/2006/main">
  <authors>
    <author>ann</author>
    <author>C2389</author>
    <author>C1350</author>
  </authors>
  <commentList>
    <comment ref="B5" authorId="0">
      <text>
        <r>
          <rPr>
            <b/>
            <sz val="16"/>
            <rFont val="Tahoma"/>
            <family val="2"/>
          </rPr>
          <t>ann:</t>
        </r>
        <r>
          <rPr>
            <sz val="16"/>
            <rFont val="Tahoma"/>
            <family val="2"/>
          </rPr>
          <t xml:space="preserve">
</t>
        </r>
        <r>
          <rPr>
            <sz val="16"/>
            <rFont val="MingLiU"/>
            <family val="1"/>
            <charset val="136"/>
          </rPr>
          <t>每天</t>
        </r>
        <r>
          <rPr>
            <sz val="16"/>
            <rFont val="宋体"/>
            <family val="3"/>
            <charset val="134"/>
          </rPr>
          <t>计</t>
        </r>
        <r>
          <rPr>
            <sz val="16"/>
            <rFont val="MingLiU"/>
            <family val="1"/>
            <charset val="136"/>
          </rPr>
          <t>划生</t>
        </r>
        <r>
          <rPr>
            <sz val="16"/>
            <rFont val="宋体"/>
            <family val="3"/>
            <charset val="134"/>
          </rPr>
          <t>产时间</t>
        </r>
        <r>
          <rPr>
            <sz val="16"/>
            <rFont val="MingLiU"/>
            <family val="1"/>
            <charset val="136"/>
          </rPr>
          <t>已排除勤前准</t>
        </r>
        <r>
          <rPr>
            <sz val="16"/>
            <rFont val="宋体"/>
            <family val="3"/>
            <charset val="134"/>
          </rPr>
          <t>备时间</t>
        </r>
        <r>
          <rPr>
            <sz val="16"/>
            <rFont val="MingLiU"/>
            <family val="1"/>
            <charset val="136"/>
          </rPr>
          <t>及用餐休息</t>
        </r>
        <r>
          <rPr>
            <sz val="16"/>
            <rFont val="宋体"/>
            <family val="3"/>
            <charset val="134"/>
          </rPr>
          <t>时间</t>
        </r>
        <r>
          <rPr>
            <sz val="16"/>
            <rFont val="MingLiU"/>
            <family val="1"/>
            <charset val="136"/>
          </rPr>
          <t>.如早</t>
        </r>
        <r>
          <rPr>
            <sz val="16"/>
            <rFont val="宋体"/>
            <family val="3"/>
            <charset val="134"/>
          </rPr>
          <t>会</t>
        </r>
        <r>
          <rPr>
            <sz val="16"/>
            <rFont val="MingLiU"/>
            <family val="1"/>
            <charset val="136"/>
          </rPr>
          <t>.5S.</t>
        </r>
        <r>
          <rPr>
            <sz val="16"/>
            <rFont val="宋体"/>
            <family val="3"/>
            <charset val="134"/>
          </rPr>
          <t>点检</t>
        </r>
        <r>
          <rPr>
            <sz val="16"/>
            <rFont val="MingLiU"/>
            <family val="1"/>
            <charset val="136"/>
          </rPr>
          <t>等提前到</t>
        </r>
        <r>
          <rPr>
            <sz val="16"/>
            <rFont val="宋体"/>
            <family val="3"/>
            <charset val="134"/>
          </rPr>
          <t>岗</t>
        </r>
        <r>
          <rPr>
            <sz val="16"/>
            <rFont val="MingLiU"/>
            <family val="1"/>
            <charset val="136"/>
          </rPr>
          <t>的</t>
        </r>
        <r>
          <rPr>
            <sz val="16"/>
            <rFont val="宋体"/>
            <family val="3"/>
            <charset val="134"/>
          </rPr>
          <t>时间</t>
        </r>
        <r>
          <rPr>
            <sz val="16"/>
            <rFont val="MingLiU"/>
            <family val="1"/>
            <charset val="136"/>
          </rPr>
          <t>.下班后的其他作</t>
        </r>
        <r>
          <rPr>
            <sz val="16"/>
            <rFont val="宋体"/>
            <family val="3"/>
            <charset val="134"/>
          </rPr>
          <t xml:space="preserve">业时间
</t>
        </r>
        <r>
          <rPr>
            <b/>
            <sz val="16"/>
            <color indexed="81"/>
            <rFont val="宋体"/>
            <family val="3"/>
            <charset val="134"/>
          </rPr>
          <t>就是一天的工作上班时间，如加工机一天的工作时间为</t>
        </r>
        <r>
          <rPr>
            <b/>
            <sz val="16"/>
            <color indexed="81"/>
            <rFont val="MingLiU"/>
            <family val="3"/>
          </rPr>
          <t>24小</t>
        </r>
        <r>
          <rPr>
            <b/>
            <sz val="16"/>
            <color indexed="81"/>
            <rFont val="宋体"/>
            <family val="3"/>
            <charset val="134"/>
          </rPr>
          <t>时</t>
        </r>
        <r>
          <rPr>
            <b/>
            <sz val="16"/>
            <color indexed="81"/>
            <rFont val="MingLiU"/>
            <family val="3"/>
          </rPr>
          <t>=1440分</t>
        </r>
        <r>
          <rPr>
            <b/>
            <sz val="16"/>
            <color indexed="81"/>
            <rFont val="宋体"/>
            <family val="3"/>
            <charset val="134"/>
          </rPr>
          <t>钟</t>
        </r>
      </text>
    </comment>
    <comment ref="C5" authorId="0">
      <text>
        <r>
          <rPr>
            <b/>
            <sz val="16"/>
            <rFont val="Tahoma"/>
            <family val="2"/>
          </rPr>
          <t>ann:</t>
        </r>
        <r>
          <rPr>
            <sz val="16"/>
            <rFont val="Tahoma"/>
            <family val="2"/>
          </rPr>
          <t xml:space="preserve">
</t>
        </r>
        <r>
          <rPr>
            <sz val="16"/>
            <rFont val="宋体"/>
            <family val="3"/>
            <charset val="134"/>
          </rPr>
          <t>计</t>
        </r>
        <r>
          <rPr>
            <sz val="16"/>
            <rFont val="MingLiU"/>
            <family val="1"/>
            <charset val="136"/>
          </rPr>
          <t>划</t>
        </r>
        <r>
          <rPr>
            <sz val="16"/>
            <rFont val="宋体"/>
            <family val="3"/>
            <charset val="134"/>
          </rPr>
          <t>产</t>
        </r>
        <r>
          <rPr>
            <sz val="16"/>
            <rFont val="MingLiU"/>
            <family val="1"/>
            <charset val="136"/>
          </rPr>
          <t>出依照工程</t>
        </r>
        <r>
          <rPr>
            <sz val="16"/>
            <rFont val="宋体"/>
            <family val="3"/>
            <charset val="134"/>
          </rPr>
          <t>设备</t>
        </r>
        <r>
          <rPr>
            <sz val="16"/>
            <rFont val="MingLiU"/>
            <family val="1"/>
            <charset val="136"/>
          </rPr>
          <t>能力的理</t>
        </r>
        <r>
          <rPr>
            <sz val="16"/>
            <rFont val="宋体"/>
            <family val="3"/>
            <charset val="134"/>
          </rPr>
          <t>论</t>
        </r>
        <r>
          <rPr>
            <sz val="16"/>
            <rFont val="MingLiU"/>
            <family val="1"/>
            <charset val="136"/>
          </rPr>
          <t>C.T*</t>
        </r>
        <r>
          <rPr>
            <sz val="16"/>
            <rFont val="宋体"/>
            <family val="3"/>
            <charset val="134"/>
          </rPr>
          <t>负</t>
        </r>
        <r>
          <rPr>
            <sz val="16"/>
            <rFont val="MingLiU"/>
            <family val="1"/>
            <charset val="136"/>
          </rPr>
          <t>荷</t>
        </r>
        <r>
          <rPr>
            <sz val="16"/>
            <rFont val="宋体"/>
            <family val="3"/>
            <charset val="134"/>
          </rPr>
          <t>时间</t>
        </r>
        <r>
          <rPr>
            <sz val="16"/>
            <rFont val="MingLiU"/>
            <family val="1"/>
            <charset val="136"/>
          </rPr>
          <t>做排</t>
        </r>
        <r>
          <rPr>
            <sz val="16"/>
            <rFont val="宋体"/>
            <family val="3"/>
            <charset val="134"/>
          </rPr>
          <t>产计</t>
        </r>
        <r>
          <rPr>
            <sz val="16"/>
            <rFont val="MingLiU"/>
            <family val="1"/>
            <charset val="136"/>
          </rPr>
          <t>划</t>
        </r>
        <r>
          <rPr>
            <sz val="16"/>
            <rFont val="宋体"/>
            <family val="3"/>
            <charset val="134"/>
          </rPr>
          <t>产</t>
        </r>
        <r>
          <rPr>
            <sz val="16"/>
            <rFont val="MingLiU"/>
            <family val="1"/>
            <charset val="136"/>
          </rPr>
          <t xml:space="preserve">量
</t>
        </r>
        <r>
          <rPr>
            <b/>
            <sz val="16"/>
            <color indexed="81"/>
            <rFont val="MingLiU"/>
            <family val="3"/>
          </rPr>
          <t>即生管每日</t>
        </r>
        <r>
          <rPr>
            <b/>
            <sz val="16"/>
            <color indexed="81"/>
            <rFont val="宋体"/>
            <family val="3"/>
            <charset val="134"/>
          </rPr>
          <t>给现场</t>
        </r>
        <r>
          <rPr>
            <b/>
            <sz val="16"/>
            <color indexed="81"/>
            <rFont val="MingLiU"/>
            <family val="3"/>
          </rPr>
          <t>的</t>
        </r>
        <r>
          <rPr>
            <b/>
            <sz val="16"/>
            <color indexed="81"/>
            <rFont val="宋体"/>
            <family val="3"/>
            <charset val="134"/>
          </rPr>
          <t>计划工令数</t>
        </r>
      </text>
    </comment>
    <comment ref="D5" authorId="0">
      <text>
        <r>
          <rPr>
            <b/>
            <sz val="16"/>
            <rFont val="Tahoma"/>
            <family val="2"/>
          </rPr>
          <t>ann:</t>
        </r>
        <r>
          <rPr>
            <sz val="16"/>
            <rFont val="Tahoma"/>
            <family val="2"/>
          </rPr>
          <t xml:space="preserve">
</t>
        </r>
        <r>
          <rPr>
            <sz val="16"/>
            <rFont val="MingLiU"/>
            <family val="1"/>
            <charset val="136"/>
          </rPr>
          <t>数据来源：产能加工报表</t>
        </r>
      </text>
    </comment>
    <comment ref="E5" authorId="1">
      <text>
        <r>
          <rPr>
            <b/>
            <sz val="9"/>
            <color indexed="81"/>
            <rFont val="Tahoma"/>
            <family val="2"/>
          </rPr>
          <t>C2389: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6"/>
            <color indexed="81"/>
            <rFont val="宋体"/>
            <family val="3"/>
            <charset val="134"/>
          </rPr>
          <t>不同件号对应不同的标准工时，为实际产出数量的标准工时的总和</t>
        </r>
        <r>
          <rPr>
            <sz val="16"/>
            <color indexed="81"/>
            <rFont val="宋体"/>
            <family val="3"/>
            <charset val="134"/>
          </rPr>
          <t xml:space="preserve">
如</t>
        </r>
        <r>
          <rPr>
            <sz val="16"/>
            <color indexed="81"/>
            <rFont val="Tahoma"/>
            <family val="2"/>
          </rPr>
          <t>A</t>
        </r>
        <r>
          <rPr>
            <sz val="16"/>
            <color indexed="81"/>
            <rFont val="宋体"/>
            <family val="3"/>
            <charset val="134"/>
          </rPr>
          <t>的标准工时为</t>
        </r>
        <r>
          <rPr>
            <sz val="16"/>
            <color indexed="81"/>
            <rFont val="Tahoma"/>
            <family val="2"/>
          </rPr>
          <t>X</t>
        </r>
        <r>
          <rPr>
            <sz val="16"/>
            <color indexed="81"/>
            <rFont val="宋体"/>
            <family val="3"/>
            <charset val="134"/>
          </rPr>
          <t>，</t>
        </r>
        <r>
          <rPr>
            <sz val="16"/>
            <color indexed="81"/>
            <rFont val="Tahoma"/>
            <family val="2"/>
          </rPr>
          <t>B</t>
        </r>
        <r>
          <rPr>
            <sz val="16"/>
            <color indexed="81"/>
            <rFont val="宋体"/>
            <family val="3"/>
            <charset val="134"/>
          </rPr>
          <t>的标准工时为</t>
        </r>
        <r>
          <rPr>
            <sz val="16"/>
            <color indexed="81"/>
            <rFont val="Tahoma"/>
            <family val="2"/>
          </rPr>
          <t>Y</t>
        </r>
        <r>
          <rPr>
            <sz val="16"/>
            <color indexed="81"/>
            <rFont val="宋体"/>
            <family val="3"/>
            <charset val="134"/>
          </rPr>
          <t>，某日共产出</t>
        </r>
        <r>
          <rPr>
            <sz val="16"/>
            <color indexed="81"/>
            <rFont val="Tahoma"/>
            <family val="2"/>
          </rPr>
          <t>A</t>
        </r>
        <r>
          <rPr>
            <sz val="16"/>
            <color indexed="81"/>
            <rFont val="宋体"/>
            <family val="3"/>
            <charset val="134"/>
          </rPr>
          <t>机型</t>
        </r>
        <r>
          <rPr>
            <sz val="16"/>
            <color indexed="81"/>
            <rFont val="Tahoma"/>
            <family val="2"/>
          </rPr>
          <t>M</t>
        </r>
        <r>
          <rPr>
            <sz val="16"/>
            <color indexed="81"/>
            <rFont val="宋体"/>
            <family val="3"/>
            <charset val="134"/>
          </rPr>
          <t>件，</t>
        </r>
        <r>
          <rPr>
            <sz val="16"/>
            <color indexed="81"/>
            <rFont val="Tahoma"/>
            <family val="2"/>
          </rPr>
          <t>B</t>
        </r>
        <r>
          <rPr>
            <sz val="16"/>
            <color indexed="81"/>
            <rFont val="宋体"/>
            <family val="3"/>
            <charset val="134"/>
          </rPr>
          <t>机型</t>
        </r>
        <r>
          <rPr>
            <sz val="16"/>
            <color indexed="81"/>
            <rFont val="Tahoma"/>
            <family val="2"/>
          </rPr>
          <t>N</t>
        </r>
        <r>
          <rPr>
            <sz val="16"/>
            <color indexed="81"/>
            <rFont val="宋体"/>
            <family val="3"/>
            <charset val="134"/>
          </rPr>
          <t>件，则标准工时</t>
        </r>
        <r>
          <rPr>
            <sz val="16"/>
            <color indexed="81"/>
            <rFont val="Tahoma"/>
            <family val="2"/>
          </rPr>
          <t>=X*M+Y*N</t>
        </r>
      </text>
    </comment>
    <comment ref="F5" authorId="0">
      <text>
        <r>
          <rPr>
            <b/>
            <sz val="16"/>
            <rFont val="Tahoma"/>
            <family val="2"/>
          </rPr>
          <t>ann:</t>
        </r>
        <r>
          <rPr>
            <sz val="16"/>
            <rFont val="Tahoma"/>
            <family val="2"/>
          </rPr>
          <t xml:space="preserve">
</t>
        </r>
        <r>
          <rPr>
            <sz val="16"/>
            <rFont val="MingLiU"/>
            <family val="1"/>
            <charset val="136"/>
          </rPr>
          <t>包含返修品</t>
        </r>
        <r>
          <rPr>
            <sz val="16"/>
            <rFont val="Tahoma"/>
            <family val="2"/>
          </rPr>
          <t>'</t>
        </r>
        <r>
          <rPr>
            <sz val="16"/>
            <rFont val="宋体"/>
            <family val="3"/>
            <charset val="134"/>
          </rPr>
          <t>报废</t>
        </r>
        <r>
          <rPr>
            <sz val="16"/>
            <rFont val="MingLiU"/>
            <family val="1"/>
            <charset val="136"/>
          </rPr>
          <t>品.工</t>
        </r>
        <r>
          <rPr>
            <sz val="16"/>
            <rFont val="宋体"/>
            <family val="3"/>
            <charset val="134"/>
          </rPr>
          <t>艺</t>
        </r>
        <r>
          <rPr>
            <sz val="16"/>
            <rFont val="MingLiU"/>
            <family val="1"/>
            <charset val="136"/>
          </rPr>
          <t>要求的</t>
        </r>
        <r>
          <rPr>
            <sz val="16"/>
            <rFont val="宋体"/>
            <family val="3"/>
            <charset val="134"/>
          </rPr>
          <t>线</t>
        </r>
        <r>
          <rPr>
            <sz val="16"/>
            <rFont val="MingLiU"/>
            <family val="1"/>
            <charset val="136"/>
          </rPr>
          <t>上修正作</t>
        </r>
        <r>
          <rPr>
            <sz val="16"/>
            <rFont val="宋体"/>
            <family val="3"/>
            <charset val="134"/>
          </rPr>
          <t>业产</t>
        </r>
        <r>
          <rPr>
            <sz val="16"/>
            <rFont val="MingLiU"/>
            <family val="1"/>
            <charset val="136"/>
          </rPr>
          <t>品不包含在此</t>
        </r>
        <r>
          <rPr>
            <sz val="16"/>
            <rFont val="宋体"/>
            <family val="3"/>
            <charset val="134"/>
          </rPr>
          <t>数</t>
        </r>
        <r>
          <rPr>
            <sz val="16"/>
            <rFont val="MingLiU"/>
            <family val="1"/>
            <charset val="136"/>
          </rPr>
          <t>.如修毛</t>
        </r>
        <r>
          <rPr>
            <sz val="16"/>
            <rFont val="宋体"/>
            <family val="3"/>
            <charset val="134"/>
          </rPr>
          <t>边</t>
        </r>
        <r>
          <rPr>
            <sz val="16"/>
            <rFont val="MingLiU"/>
            <family val="1"/>
            <charset val="136"/>
          </rPr>
          <t xml:space="preserve">等..
</t>
        </r>
        <r>
          <rPr>
            <b/>
            <sz val="16"/>
            <color indexed="81"/>
            <rFont val="MingLiU"/>
            <family val="3"/>
          </rPr>
          <t>由MES中不合格</t>
        </r>
        <r>
          <rPr>
            <b/>
            <sz val="16"/>
            <color indexed="81"/>
            <rFont val="宋体"/>
            <family val="3"/>
            <charset val="134"/>
          </rPr>
          <t>单抓取，以建单时间为准，抓取状态为审核过的不合格单，
单排除判定良品和告知</t>
        </r>
      </text>
    </comment>
    <comment ref="G5" authorId="1">
      <text>
        <r>
          <rPr>
            <b/>
            <sz val="16"/>
            <color indexed="81"/>
            <rFont val="Tahoma"/>
            <family val="2"/>
          </rPr>
          <t>C2389:
2021/11/17</t>
        </r>
        <r>
          <rPr>
            <b/>
            <sz val="16"/>
            <color indexed="81"/>
            <rFont val="宋体"/>
            <family val="3"/>
            <charset val="134"/>
          </rPr>
          <t>会议讨论加入（含在良品数中）</t>
        </r>
        <r>
          <rPr>
            <sz val="16"/>
            <color indexed="81"/>
            <rFont val="Tahoma"/>
            <family val="2"/>
          </rPr>
          <t xml:space="preserve">
</t>
        </r>
      </text>
    </comment>
    <comment ref="H5" authorId="2">
      <text>
        <r>
          <rPr>
            <b/>
            <sz val="18"/>
            <color indexed="81"/>
            <rFont val="Tahoma"/>
            <family val="2"/>
          </rPr>
          <t>C1350:</t>
        </r>
        <r>
          <rPr>
            <sz val="18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宋体"/>
            <family val="3"/>
            <charset val="134"/>
          </rPr>
          <t>作</t>
        </r>
        <r>
          <rPr>
            <sz val="18"/>
            <color indexed="81"/>
            <rFont val="Tahoma"/>
            <family val="2"/>
          </rPr>
          <t>&lt;</t>
        </r>
        <r>
          <rPr>
            <sz val="18"/>
            <color indexed="81"/>
            <rFont val="宋体"/>
            <family val="3"/>
            <charset val="134"/>
          </rPr>
          <t>计划稼动率</t>
        </r>
        <r>
          <rPr>
            <sz val="18"/>
            <color indexed="81"/>
            <rFont val="Tahoma"/>
            <family val="2"/>
          </rPr>
          <t>&gt;</t>
        </r>
        <r>
          <rPr>
            <sz val="18"/>
            <color indexed="81"/>
            <rFont val="宋体"/>
            <family val="3"/>
            <charset val="134"/>
          </rPr>
          <t>计算</t>
        </r>
        <r>
          <rPr>
            <sz val="18"/>
            <color indexed="81"/>
            <rFont val="Tahoma"/>
            <family val="2"/>
          </rPr>
          <t xml:space="preserve">BSAE
</t>
        </r>
        <r>
          <rPr>
            <b/>
            <sz val="18"/>
            <color indexed="81"/>
            <rFont val="Tahoma"/>
            <family val="2"/>
          </rPr>
          <t>2021/11/16</t>
        </r>
        <r>
          <rPr>
            <b/>
            <sz val="18"/>
            <color indexed="81"/>
            <rFont val="宋体"/>
            <family val="3"/>
            <charset val="134"/>
          </rPr>
          <t xml:space="preserve">：
</t>
        </r>
        <r>
          <rPr>
            <sz val="18"/>
            <color indexed="81"/>
            <rFont val="宋体"/>
            <family val="3"/>
            <charset val="134"/>
          </rPr>
          <t>由生管根据每日生产需求进行规划，从</t>
        </r>
        <r>
          <rPr>
            <sz val="18"/>
            <color indexed="81"/>
            <rFont val="Tahoma"/>
            <family val="2"/>
          </rPr>
          <t>MES</t>
        </r>
        <r>
          <rPr>
            <sz val="18"/>
            <color indexed="81"/>
            <rFont val="宋体"/>
            <family val="3"/>
            <charset val="134"/>
          </rPr>
          <t>进行抓取
生管在</t>
        </r>
        <r>
          <rPr>
            <sz val="18"/>
            <color indexed="81"/>
            <rFont val="Tahoma"/>
            <family val="2"/>
          </rPr>
          <t>MES</t>
        </r>
        <r>
          <rPr>
            <sz val="18"/>
            <color indexed="81"/>
            <rFont val="宋体"/>
            <family val="3"/>
            <charset val="134"/>
          </rPr>
          <t>系统中导入周计划生产，资讯根据抓取生产时间并转化计划停机时间，并有逻辑</t>
        </r>
        <r>
          <rPr>
            <sz val="18"/>
            <color indexed="81"/>
            <rFont val="Tahoma"/>
            <family val="2"/>
          </rPr>
          <t>0=0.0~720</t>
        </r>
        <r>
          <rPr>
            <sz val="18"/>
            <color indexed="81"/>
            <rFont val="宋体"/>
            <family val="3"/>
            <charset val="134"/>
          </rPr>
          <t>为</t>
        </r>
        <r>
          <rPr>
            <sz val="18"/>
            <color indexed="81"/>
            <rFont val="Tahoma"/>
            <family val="2"/>
          </rPr>
          <t>720.720~1440</t>
        </r>
        <r>
          <rPr>
            <sz val="18"/>
            <color indexed="81"/>
            <rFont val="宋体"/>
            <family val="3"/>
            <charset val="134"/>
          </rPr>
          <t>为</t>
        </r>
        <r>
          <rPr>
            <sz val="18"/>
            <color indexed="81"/>
            <rFont val="Tahoma"/>
            <family val="2"/>
          </rPr>
          <t>1440.</t>
        </r>
        <r>
          <rPr>
            <b/>
            <sz val="18"/>
            <color indexed="81"/>
            <rFont val="宋体"/>
            <family val="3"/>
            <charset val="134"/>
          </rPr>
          <t xml:space="preserve">
</t>
        </r>
        <r>
          <rPr>
            <b/>
            <sz val="18"/>
            <color indexed="81"/>
            <rFont val="Tahoma"/>
            <family val="2"/>
          </rPr>
          <t>2022/6/30</t>
        </r>
        <r>
          <rPr>
            <b/>
            <sz val="18"/>
            <color indexed="81"/>
            <rFont val="宋体"/>
            <family val="3"/>
            <charset val="134"/>
          </rPr>
          <t xml:space="preserve">：
</t>
        </r>
        <r>
          <rPr>
            <sz val="18"/>
            <color indexed="81"/>
            <rFont val="Tahoma"/>
            <family val="2"/>
          </rPr>
          <t>6/29</t>
        </r>
        <r>
          <rPr>
            <sz val="18"/>
            <color indexed="81"/>
            <rFont val="宋体"/>
            <family val="3"/>
            <charset val="134"/>
          </rPr>
          <t>会议讨论：请资讯在</t>
        </r>
        <r>
          <rPr>
            <sz val="18"/>
            <color indexed="81"/>
            <rFont val="Tahoma"/>
            <family val="2"/>
          </rPr>
          <t>MES</t>
        </r>
        <r>
          <rPr>
            <sz val="18"/>
            <color indexed="81"/>
            <rFont val="宋体"/>
            <family val="3"/>
            <charset val="134"/>
          </rPr>
          <t>开设专门地方让生管每日维护计划停机时间（注意已发生的不能修改），并精确到时间段（如</t>
        </r>
        <r>
          <rPr>
            <sz val="18"/>
            <color indexed="81"/>
            <rFont val="Tahoma"/>
            <family val="2"/>
          </rPr>
          <t xml:space="preserve">MC-14  6/29 08:00~10:00  </t>
        </r>
        <r>
          <rPr>
            <sz val="18"/>
            <color indexed="81"/>
            <rFont val="宋体"/>
            <family val="3"/>
            <charset val="134"/>
          </rPr>
          <t>计划停机</t>
        </r>
        <r>
          <rPr>
            <sz val="18"/>
            <color indexed="81"/>
            <rFont val="Tahoma"/>
            <family val="2"/>
          </rPr>
          <t>2</t>
        </r>
        <r>
          <rPr>
            <sz val="18"/>
            <color indexed="81"/>
            <rFont val="宋体"/>
            <family val="3"/>
            <charset val="134"/>
          </rPr>
          <t>小时）</t>
        </r>
      </text>
    </comment>
    <comment ref="L5" authorId="1">
      <text>
        <r>
          <rPr>
            <b/>
            <sz val="16"/>
            <color indexed="81"/>
            <rFont val="宋体"/>
            <family val="3"/>
            <charset val="134"/>
          </rPr>
          <t xml:space="preserve">2022/6/16：
</t>
        </r>
        <r>
          <rPr>
            <sz val="16"/>
            <color indexed="81"/>
            <rFont val="宋体"/>
            <family val="3"/>
            <charset val="134"/>
          </rPr>
          <t>指的是现场进行的自主停机保养项，维修进行的计划保养含在计划停机项中</t>
        </r>
      </text>
    </comment>
    <comment ref="AC5" authorId="1">
      <text>
        <r>
          <rPr>
            <b/>
            <sz val="11"/>
            <color indexed="81"/>
            <rFont val="宋体"/>
            <family val="3"/>
            <charset val="134"/>
          </rPr>
          <t>2021/11/16：
取设备管理系统数据</t>
        </r>
      </text>
    </comment>
    <comment ref="AE5" authorId="1">
      <text>
        <r>
          <rPr>
            <b/>
            <sz val="12"/>
            <color indexed="81"/>
            <rFont val="宋体"/>
            <family val="3"/>
            <charset val="134"/>
          </rPr>
          <t>2021/11/16：
取设备管理系统数据</t>
        </r>
      </text>
    </comment>
    <comment ref="AF5" authorId="1">
      <text>
        <r>
          <rPr>
            <b/>
            <sz val="12"/>
            <color indexed="81"/>
            <rFont val="Tahoma"/>
            <family val="2"/>
          </rPr>
          <t>2021/11/16</t>
        </r>
        <r>
          <rPr>
            <b/>
            <sz val="12"/>
            <color indexed="81"/>
            <rFont val="宋体"/>
            <family val="3"/>
            <charset val="134"/>
          </rPr>
          <t>：
取设备管理系统数据，汉钟版用数据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宋体"/>
            <family val="3"/>
            <charset val="134"/>
          </rPr>
          <t>顾问版中，
设备修理时间</t>
        </r>
        <r>
          <rPr>
            <sz val="12"/>
            <color indexed="81"/>
            <rFont val="Tahoma"/>
            <family val="2"/>
          </rPr>
          <t>=</t>
        </r>
        <r>
          <rPr>
            <sz val="12"/>
            <color indexed="81"/>
            <rFont val="宋体"/>
            <family val="3"/>
            <charset val="134"/>
          </rPr>
          <t>设备故障时间
设备修理次数</t>
        </r>
        <r>
          <rPr>
            <sz val="12"/>
            <color indexed="81"/>
            <rFont val="Tahoma"/>
            <family val="2"/>
          </rPr>
          <t>=</t>
        </r>
        <r>
          <rPr>
            <sz val="12"/>
            <color indexed="81"/>
            <rFont val="宋体"/>
            <family val="3"/>
            <charset val="134"/>
          </rPr>
          <t>设备故障次数</t>
        </r>
      </text>
    </comment>
    <comment ref="AG5" authorId="1">
      <text>
        <r>
          <rPr>
            <b/>
            <sz val="12"/>
            <color indexed="81"/>
            <rFont val="Tahoma"/>
            <family val="2"/>
          </rPr>
          <t>2021/11/16</t>
        </r>
        <r>
          <rPr>
            <b/>
            <sz val="12"/>
            <color indexed="81"/>
            <rFont val="宋体"/>
            <family val="3"/>
            <charset val="134"/>
          </rPr>
          <t>：
取设备管理系统数据，汉钟版用数据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宋体"/>
            <family val="3"/>
            <charset val="134"/>
          </rPr>
          <t>顾问版中，
设备修理时间</t>
        </r>
        <r>
          <rPr>
            <sz val="12"/>
            <color indexed="81"/>
            <rFont val="Tahoma"/>
            <family val="2"/>
          </rPr>
          <t>=</t>
        </r>
        <r>
          <rPr>
            <sz val="12"/>
            <color indexed="81"/>
            <rFont val="宋体"/>
            <family val="3"/>
            <charset val="134"/>
          </rPr>
          <t>设备故障时间
设备修理次数</t>
        </r>
        <r>
          <rPr>
            <sz val="12"/>
            <color indexed="81"/>
            <rFont val="Tahoma"/>
            <family val="2"/>
          </rPr>
          <t>=</t>
        </r>
        <r>
          <rPr>
            <sz val="12"/>
            <color indexed="81"/>
            <rFont val="宋体"/>
            <family val="3"/>
            <charset val="134"/>
          </rPr>
          <t>设备故障次数</t>
        </r>
      </text>
    </comment>
    <comment ref="AK5" authorId="1">
      <text>
        <r>
          <rPr>
            <sz val="18"/>
            <color indexed="81"/>
            <rFont val="宋体"/>
            <family val="3"/>
            <charset val="134"/>
          </rPr>
          <t>含特采数</t>
        </r>
      </text>
    </comment>
    <comment ref="AQ5" authorId="1">
      <text>
        <r>
          <rPr>
            <b/>
            <sz val="12"/>
            <color indexed="81"/>
            <rFont val="Tahoma"/>
            <family val="2"/>
          </rPr>
          <t>2021/9/6</t>
        </r>
        <r>
          <rPr>
            <b/>
            <sz val="12"/>
            <color indexed="81"/>
            <rFont val="宋体"/>
            <family val="3"/>
            <charset val="134"/>
          </rPr>
          <t>修改：</t>
        </r>
        <r>
          <rPr>
            <b/>
            <sz val="14"/>
            <color indexed="81"/>
            <rFont val="宋体"/>
            <family val="3"/>
            <charset val="134"/>
          </rPr>
          <t xml:space="preserve">
平均设备故障间隔时间</t>
        </r>
        <r>
          <rPr>
            <b/>
            <sz val="14"/>
            <color indexed="81"/>
            <rFont val="Tahoma"/>
            <family val="2"/>
          </rPr>
          <t>MTBF</t>
        </r>
        <r>
          <rPr>
            <b/>
            <sz val="14"/>
            <color indexed="81"/>
            <rFont val="宋体"/>
            <family val="3"/>
            <charset val="134"/>
          </rPr>
          <t>（</t>
        </r>
        <r>
          <rPr>
            <b/>
            <sz val="14"/>
            <color indexed="81"/>
            <rFont val="Tahoma"/>
            <family val="2"/>
          </rPr>
          <t>Mean time between failure)</t>
        </r>
        <r>
          <rPr>
            <b/>
            <sz val="14"/>
            <color indexed="81"/>
            <rFont val="宋体"/>
            <family val="3"/>
            <charset val="134"/>
          </rPr>
          <t>，</t>
        </r>
        <r>
          <rPr>
            <sz val="14"/>
            <color indexed="81"/>
            <rFont val="宋体"/>
            <family val="3"/>
            <charset val="134"/>
          </rPr>
          <t>越长越好，通常以</t>
        </r>
        <r>
          <rPr>
            <b/>
            <sz val="14"/>
            <color indexed="81"/>
            <rFont val="宋体"/>
            <family val="3"/>
            <charset val="134"/>
          </rPr>
          <t>小时</t>
        </r>
        <r>
          <rPr>
            <sz val="14"/>
            <color indexed="81"/>
            <rFont val="宋体"/>
            <family val="3"/>
            <charset val="134"/>
          </rPr>
          <t>为单位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=</t>
        </r>
        <r>
          <rPr>
            <b/>
            <sz val="14"/>
            <color indexed="81"/>
            <rFont val="宋体"/>
            <family val="3"/>
            <charset val="134"/>
          </rPr>
          <t>运行时间</t>
        </r>
        <r>
          <rPr>
            <b/>
            <sz val="14"/>
            <color indexed="81"/>
            <rFont val="Tahoma"/>
            <family val="2"/>
          </rPr>
          <t>/</t>
        </r>
        <r>
          <rPr>
            <b/>
            <sz val="14"/>
            <color indexed="81"/>
            <rFont val="宋体"/>
            <family val="3"/>
            <charset val="134"/>
          </rPr>
          <t>故障次数</t>
        </r>
        <r>
          <rPr>
            <sz val="14"/>
            <color indexed="81"/>
            <rFont val="宋体"/>
            <family val="3"/>
            <charset val="134"/>
          </rPr>
          <t>（运行时间</t>
        </r>
        <r>
          <rPr>
            <sz val="14"/>
            <color indexed="81"/>
            <rFont val="Tahoma"/>
            <family val="2"/>
          </rPr>
          <t>=</t>
        </r>
        <r>
          <rPr>
            <sz val="14"/>
            <color indexed="81"/>
            <rFont val="宋体"/>
            <family val="3"/>
            <charset val="134"/>
          </rPr>
          <t>负荷时间，即含设备正常运行时间、设备故障时间）</t>
        </r>
        <r>
          <rPr>
            <sz val="14"/>
            <color indexed="81"/>
            <rFont val="Tahoma"/>
            <family val="2"/>
          </rPr>
          <t xml:space="preserve"> 
</t>
        </r>
        <r>
          <rPr>
            <b/>
            <sz val="14"/>
            <color indexed="81"/>
            <rFont val="Tahoma"/>
            <family val="2"/>
          </rPr>
          <t>MTBF=MTTR+MTTF</t>
        </r>
      </text>
    </comment>
    <comment ref="AR5" authorId="1">
      <text>
        <r>
          <rPr>
            <b/>
            <sz val="14"/>
            <color indexed="81"/>
            <rFont val="Tahoma"/>
            <family val="2"/>
          </rPr>
          <t>2021/9/6</t>
        </r>
        <r>
          <rPr>
            <b/>
            <sz val="14"/>
            <color indexed="81"/>
            <rFont val="宋体"/>
            <family val="3"/>
            <charset val="134"/>
          </rPr>
          <t>新增：
平均无故障时间</t>
        </r>
        <r>
          <rPr>
            <b/>
            <sz val="14"/>
            <color indexed="81"/>
            <rFont val="Tahoma"/>
            <family val="2"/>
          </rPr>
          <t>MTTR</t>
        </r>
        <r>
          <rPr>
            <b/>
            <sz val="14"/>
            <color indexed="81"/>
            <rFont val="宋体"/>
            <family val="3"/>
            <charset val="134"/>
          </rPr>
          <t>（</t>
        </r>
        <r>
          <rPr>
            <b/>
            <sz val="14"/>
            <color indexed="81"/>
            <rFont val="Tahoma"/>
            <family val="2"/>
          </rPr>
          <t>Mean time to repair)</t>
        </r>
        <r>
          <rPr>
            <b/>
            <sz val="14"/>
            <color indexed="81"/>
            <rFont val="宋体"/>
            <family val="3"/>
            <charset val="134"/>
          </rPr>
          <t>，</t>
        </r>
        <r>
          <rPr>
            <sz val="14"/>
            <color indexed="81"/>
            <rFont val="宋体"/>
            <family val="3"/>
            <charset val="134"/>
          </rPr>
          <t>越小越好，通常以</t>
        </r>
        <r>
          <rPr>
            <b/>
            <sz val="14"/>
            <color indexed="81"/>
            <rFont val="宋体"/>
            <family val="3"/>
            <charset val="134"/>
          </rPr>
          <t>分钟</t>
        </r>
        <r>
          <rPr>
            <sz val="14"/>
            <color indexed="81"/>
            <rFont val="宋体"/>
            <family val="3"/>
            <charset val="134"/>
          </rPr>
          <t xml:space="preserve">为单位
</t>
        </r>
        <r>
          <rPr>
            <b/>
            <sz val="14"/>
            <color indexed="81"/>
            <rFont val="Tahoma"/>
            <family val="2"/>
          </rPr>
          <t>=</t>
        </r>
        <r>
          <rPr>
            <b/>
            <sz val="14"/>
            <color indexed="81"/>
            <rFont val="宋体"/>
            <family val="3"/>
            <charset val="134"/>
          </rPr>
          <t>设备故障时间</t>
        </r>
        <r>
          <rPr>
            <b/>
            <sz val="14"/>
            <color indexed="81"/>
            <rFont val="Tahoma"/>
            <family val="2"/>
          </rPr>
          <t>/</t>
        </r>
        <r>
          <rPr>
            <b/>
            <sz val="14"/>
            <color indexed="81"/>
            <rFont val="宋体"/>
            <family val="3"/>
            <charset val="134"/>
          </rPr>
          <t>总故障次数</t>
        </r>
        <r>
          <rPr>
            <sz val="14"/>
            <color indexed="81"/>
            <rFont val="宋体"/>
            <family val="3"/>
            <charset val="134"/>
          </rPr>
          <t>（设备故障时间含响应时间、修理时间、维修确认时间）</t>
        </r>
      </text>
    </comment>
    <comment ref="AU5" authorId="1">
      <text>
        <r>
          <rPr>
            <b/>
            <sz val="14"/>
            <color indexed="81"/>
            <rFont val="Tahoma"/>
            <family val="2"/>
          </rPr>
          <t>2021/9/6</t>
        </r>
        <r>
          <rPr>
            <b/>
            <sz val="14"/>
            <color indexed="81"/>
            <rFont val="宋体"/>
            <family val="3"/>
            <charset val="134"/>
          </rPr>
          <t>新增：</t>
        </r>
        <r>
          <rPr>
            <sz val="14"/>
            <color indexed="81"/>
            <rFont val="宋体"/>
            <family val="3"/>
            <charset val="134"/>
          </rPr>
          <t>（以故障时间</t>
        </r>
        <r>
          <rPr>
            <sz val="14"/>
            <color indexed="81"/>
            <rFont val="Tahoma"/>
            <family val="2"/>
          </rPr>
          <t>=</t>
        </r>
        <r>
          <rPr>
            <sz val="14"/>
            <color indexed="81"/>
            <rFont val="宋体"/>
            <family val="3"/>
            <charset val="134"/>
          </rPr>
          <t>修理时间为目标，汉钟对维修人员进行设备修理之及时性参考用）</t>
        </r>
        <r>
          <rPr>
            <b/>
            <sz val="14"/>
            <color indexed="81"/>
            <rFont val="宋体"/>
            <family val="3"/>
            <charset val="134"/>
          </rPr>
          <t xml:space="preserve">
平均设备修理时间</t>
        </r>
        <r>
          <rPr>
            <b/>
            <sz val="14"/>
            <color indexed="81"/>
            <rFont val="Tahoma"/>
            <family val="2"/>
          </rPr>
          <t>MTR</t>
        </r>
        <r>
          <rPr>
            <b/>
            <sz val="14"/>
            <color indexed="81"/>
            <rFont val="宋体"/>
            <family val="3"/>
            <charset val="134"/>
          </rPr>
          <t>（</t>
        </r>
        <r>
          <rPr>
            <b/>
            <sz val="14"/>
            <color indexed="81"/>
            <rFont val="Tahoma"/>
            <family val="2"/>
          </rPr>
          <t>Mean time repair)</t>
        </r>
        <r>
          <rPr>
            <b/>
            <sz val="14"/>
            <color indexed="81"/>
            <rFont val="宋体"/>
            <family val="3"/>
            <charset val="134"/>
          </rPr>
          <t>，</t>
        </r>
        <r>
          <rPr>
            <sz val="14"/>
            <color indexed="81"/>
            <rFont val="宋体"/>
            <family val="3"/>
            <charset val="134"/>
          </rPr>
          <t>越短越好，以</t>
        </r>
        <r>
          <rPr>
            <b/>
            <sz val="14"/>
            <color indexed="81"/>
            <rFont val="宋体"/>
            <family val="3"/>
            <charset val="134"/>
          </rPr>
          <t>分钟</t>
        </r>
        <r>
          <rPr>
            <sz val="14"/>
            <color indexed="81"/>
            <rFont val="宋体"/>
            <family val="3"/>
            <charset val="134"/>
          </rPr>
          <t>为单位</t>
        </r>
        <r>
          <rPr>
            <b/>
            <sz val="14"/>
            <color indexed="81"/>
            <rFont val="宋体"/>
            <family val="3"/>
            <charset val="134"/>
          </rPr>
          <t xml:space="preserve">
</t>
        </r>
        <r>
          <rPr>
            <b/>
            <sz val="14"/>
            <color indexed="81"/>
            <rFont val="Tahoma"/>
            <family val="2"/>
          </rPr>
          <t>=</t>
        </r>
        <r>
          <rPr>
            <b/>
            <sz val="14"/>
            <color indexed="81"/>
            <rFont val="宋体"/>
            <family val="3"/>
            <charset val="134"/>
          </rPr>
          <t>总设备修理时间</t>
        </r>
        <r>
          <rPr>
            <b/>
            <sz val="14"/>
            <color indexed="81"/>
            <rFont val="Tahoma"/>
            <family val="2"/>
          </rPr>
          <t>/</t>
        </r>
        <r>
          <rPr>
            <b/>
            <sz val="14"/>
            <color indexed="81"/>
            <rFont val="宋体"/>
            <family val="3"/>
            <charset val="134"/>
          </rPr>
          <t>总修理次数</t>
        </r>
        <r>
          <rPr>
            <sz val="14"/>
            <color indexed="81"/>
            <rFont val="宋体"/>
            <family val="3"/>
            <charset val="134"/>
          </rPr>
          <t>（设备修理时间仅指维修人员修理的时间）：</t>
        </r>
      </text>
    </comment>
  </commentList>
</comments>
</file>

<file path=xl/sharedStrings.xml><?xml version="1.0" encoding="utf-8"?>
<sst xmlns="http://schemas.openxmlformats.org/spreadsheetml/2006/main" count="142" uniqueCount="113">
  <si>
    <t>B</t>
  </si>
  <si>
    <t>C</t>
  </si>
  <si>
    <t>D</t>
  </si>
  <si>
    <t>E</t>
  </si>
  <si>
    <t>核准</t>
    <phoneticPr fontId="9" type="noConversion"/>
  </si>
  <si>
    <t>审核</t>
    <phoneticPr fontId="9" type="noConversion"/>
  </si>
  <si>
    <t>编制</t>
    <phoneticPr fontId="9" type="noConversion"/>
  </si>
  <si>
    <t>统计拦位</t>
  </si>
  <si>
    <t>欠料等待</t>
  </si>
  <si>
    <t>刀具调试更换</t>
  </si>
  <si>
    <t>停机换模</t>
  </si>
  <si>
    <t>物料返修</t>
  </si>
  <si>
    <t>上下料干涉等待</t>
  </si>
  <si>
    <t>单模拆装</t>
  </si>
  <si>
    <t>共用刀具模具等待</t>
  </si>
  <si>
    <t>计划
稼动率</t>
    <phoneticPr fontId="9" type="noConversion"/>
  </si>
  <si>
    <t>负荷
时间</t>
    <phoneticPr fontId="9" type="noConversion"/>
  </si>
  <si>
    <t xml:space="preserve">实际稼动时间 </t>
  </si>
  <si>
    <t>分</t>
  </si>
  <si>
    <t>件</t>
  </si>
  <si>
    <t>次</t>
  </si>
  <si>
    <t>R/C</t>
    <phoneticPr fontId="9" type="noConversion"/>
  </si>
  <si>
    <t>D/Q</t>
    <phoneticPr fontId="9" type="noConversion"/>
  </si>
  <si>
    <t>Q/P</t>
    <phoneticPr fontId="9" type="noConversion"/>
  </si>
  <si>
    <t>S*U*V</t>
    <phoneticPr fontId="9" type="noConversion"/>
  </si>
  <si>
    <t>设备保养</t>
  </si>
  <si>
    <t>生技试模</t>
  </si>
  <si>
    <t>换砂轮/夹头</t>
  </si>
  <si>
    <t>停机测量等待</t>
  </si>
  <si>
    <t>首件调整</t>
  </si>
  <si>
    <t>良品率
≧95%</t>
    <phoneticPr fontId="9" type="noConversion"/>
  </si>
  <si>
    <t>良品
件数</t>
    <phoneticPr fontId="9" type="noConversion"/>
  </si>
  <si>
    <t>OEE≧85%</t>
    <phoneticPr fontId="9" type="noConversion"/>
  </si>
  <si>
    <t>设备可动率    
≧95%</t>
    <phoneticPr fontId="9" type="noConversion"/>
  </si>
  <si>
    <t xml:space="preserve">生产计划时间 </t>
    <phoneticPr fontId="9" type="noConversion"/>
  </si>
  <si>
    <t>计划产出件数</t>
    <phoneticPr fontId="9" type="noConversion"/>
  </si>
  <si>
    <t>实际产出件数</t>
    <phoneticPr fontId="9" type="noConversion"/>
  </si>
  <si>
    <t>产出标准工时合计</t>
    <phoneticPr fontId="9" type="noConversion"/>
  </si>
  <si>
    <t>不良品件数</t>
    <phoneticPr fontId="9" type="noConversion"/>
  </si>
  <si>
    <t>生管计划停机时间</t>
    <phoneticPr fontId="9" type="noConversion"/>
  </si>
  <si>
    <t>特采
件数</t>
    <phoneticPr fontId="9" type="noConversion"/>
  </si>
  <si>
    <r>
      <t>C-</t>
    </r>
    <r>
      <rPr>
        <sz val="14"/>
        <color indexed="8"/>
        <rFont val="微软雅黑"/>
        <family val="2"/>
        <charset val="134"/>
      </rPr>
      <t>E</t>
    </r>
    <phoneticPr fontId="9" type="noConversion"/>
  </si>
  <si>
    <t>A</t>
    <phoneticPr fontId="9" type="noConversion"/>
  </si>
  <si>
    <t>J</t>
    <phoneticPr fontId="9" type="noConversion"/>
  </si>
  <si>
    <t>J.1</t>
    <phoneticPr fontId="9" type="noConversion"/>
  </si>
  <si>
    <t>K</t>
    <phoneticPr fontId="9" type="noConversion"/>
  </si>
  <si>
    <t>O</t>
    <phoneticPr fontId="9" type="noConversion"/>
  </si>
  <si>
    <t>P</t>
    <phoneticPr fontId="9" type="noConversion"/>
  </si>
  <si>
    <t>Q</t>
    <phoneticPr fontId="9" type="noConversion"/>
  </si>
  <si>
    <t>R</t>
    <phoneticPr fontId="9" type="noConversion"/>
  </si>
  <si>
    <t>S</t>
    <phoneticPr fontId="9" type="noConversion"/>
  </si>
  <si>
    <t>T</t>
    <phoneticPr fontId="9" type="noConversion"/>
  </si>
  <si>
    <t>U</t>
    <phoneticPr fontId="9" type="noConversion"/>
  </si>
  <si>
    <t>V</t>
    <phoneticPr fontId="9" type="noConversion"/>
  </si>
  <si>
    <t>W</t>
    <phoneticPr fontId="9" type="noConversion"/>
  </si>
  <si>
    <t>X</t>
    <phoneticPr fontId="9" type="noConversion"/>
  </si>
  <si>
    <t>Y</t>
    <phoneticPr fontId="9" type="noConversion"/>
  </si>
  <si>
    <t>Z</t>
    <phoneticPr fontId="9" type="noConversion"/>
  </si>
  <si>
    <t>其 他</t>
  </si>
  <si>
    <t>日期</t>
    <phoneticPr fontId="9" type="noConversion"/>
  </si>
  <si>
    <t>合计</t>
  </si>
  <si>
    <t>天数</t>
  </si>
  <si>
    <t>平均</t>
  </si>
  <si>
    <t>M</t>
    <phoneticPr fontId="43" type="noConversion"/>
  </si>
  <si>
    <t>带教/人员不足</t>
    <phoneticPr fontId="43" type="noConversion"/>
  </si>
  <si>
    <t>G</t>
    <phoneticPr fontId="43" type="noConversion"/>
  </si>
  <si>
    <t>K.1</t>
    <phoneticPr fontId="9" type="noConversion"/>
  </si>
  <si>
    <t>F</t>
    <phoneticPr fontId="9" type="noConversion"/>
  </si>
  <si>
    <t>H</t>
    <phoneticPr fontId="43" type="noConversion"/>
  </si>
  <si>
    <t>L</t>
    <phoneticPr fontId="43" type="noConversion"/>
  </si>
  <si>
    <t>(A-G)/A</t>
    <phoneticPr fontId="9" type="noConversion"/>
  </si>
  <si>
    <t>A-H</t>
    <phoneticPr fontId="9" type="noConversion"/>
  </si>
  <si>
    <t>(P-J)/P</t>
    <phoneticPr fontId="9" type="noConversion"/>
  </si>
  <si>
    <t>P/K.1</t>
    <phoneticPr fontId="9" type="noConversion"/>
  </si>
  <si>
    <t>L/M</t>
    <phoneticPr fontId="9" type="noConversion"/>
  </si>
  <si>
    <r>
      <t xml:space="preserve">设备故障时间
</t>
    </r>
    <r>
      <rPr>
        <b/>
        <sz val="9"/>
        <color indexed="10"/>
        <rFont val="微软雅黑"/>
        <family val="2"/>
        <charset val="134"/>
      </rPr>
      <t>(设备管理系统)</t>
    </r>
    <phoneticPr fontId="9" type="noConversion"/>
  </si>
  <si>
    <r>
      <t xml:space="preserve">设备故障次数
</t>
    </r>
    <r>
      <rPr>
        <b/>
        <sz val="9"/>
        <color indexed="10"/>
        <rFont val="微软雅黑"/>
        <family val="2"/>
        <charset val="134"/>
      </rPr>
      <t>(设备管理系统)</t>
    </r>
    <phoneticPr fontId="9" type="noConversion"/>
  </si>
  <si>
    <r>
      <t xml:space="preserve">设备修理时间
</t>
    </r>
    <r>
      <rPr>
        <b/>
        <sz val="9"/>
        <color indexed="10"/>
        <rFont val="微软雅黑"/>
        <family val="2"/>
        <charset val="134"/>
      </rPr>
      <t>(设备管理系统)</t>
    </r>
    <phoneticPr fontId="9" type="noConversion"/>
  </si>
  <si>
    <r>
      <t xml:space="preserve">设备修理次数
</t>
    </r>
    <r>
      <rPr>
        <b/>
        <sz val="9"/>
        <color indexed="10"/>
        <rFont val="微软雅黑"/>
        <family val="2"/>
        <charset val="134"/>
      </rPr>
      <t>(设备管理系统)</t>
    </r>
    <phoneticPr fontId="9" type="noConversion"/>
  </si>
  <si>
    <r>
      <t>2022年6月---</t>
    </r>
    <r>
      <rPr>
        <b/>
        <sz val="24"/>
        <color indexed="10"/>
        <rFont val="微软雅黑"/>
        <family val="2"/>
        <charset val="134"/>
      </rPr>
      <t>KAPP-02---</t>
    </r>
    <r>
      <rPr>
        <b/>
        <sz val="24"/>
        <rFont val="微软雅黑"/>
        <family val="2"/>
        <charset val="134"/>
      </rPr>
      <t>工程设备总合效率管理表</t>
    </r>
    <phoneticPr fontId="9" type="noConversion"/>
  </si>
  <si>
    <r>
      <t xml:space="preserve">设备故障时间
</t>
    </r>
    <r>
      <rPr>
        <b/>
        <sz val="9"/>
        <color indexed="10"/>
        <rFont val="微软雅黑"/>
        <family val="2"/>
        <charset val="134"/>
      </rPr>
      <t>(现场人工)</t>
    </r>
    <phoneticPr fontId="9" type="noConversion"/>
  </si>
  <si>
    <r>
      <t xml:space="preserve">MTTR  (分)  
</t>
    </r>
    <r>
      <rPr>
        <b/>
        <sz val="11"/>
        <color indexed="8"/>
        <rFont val="微软雅黑"/>
        <family val="2"/>
        <charset val="134"/>
      </rPr>
      <t xml:space="preserve">(现场人工)        </t>
    </r>
    <phoneticPr fontId="9" type="noConversion"/>
  </si>
  <si>
    <t>P/K</t>
    <phoneticPr fontId="9" type="noConversion"/>
  </si>
  <si>
    <t>J/K</t>
    <phoneticPr fontId="9" type="noConversion"/>
  </si>
  <si>
    <t>J.1/K.1</t>
    <phoneticPr fontId="9" type="noConversion"/>
  </si>
  <si>
    <t>P-I-J</t>
    <phoneticPr fontId="9" type="noConversion"/>
  </si>
  <si>
    <t>X.1</t>
    <phoneticPr fontId="9" type="noConversion"/>
  </si>
  <si>
    <t>Y.1</t>
    <phoneticPr fontId="9" type="noConversion"/>
  </si>
  <si>
    <r>
      <t xml:space="preserve">MTBF  
(分)  
</t>
    </r>
    <r>
      <rPr>
        <b/>
        <sz val="11"/>
        <color indexed="8"/>
        <rFont val="微软雅黑"/>
        <family val="2"/>
        <charset val="134"/>
      </rPr>
      <t xml:space="preserve">(现场人工)  </t>
    </r>
    <r>
      <rPr>
        <b/>
        <sz val="11"/>
        <color indexed="10"/>
        <rFont val="微软雅黑"/>
        <family val="2"/>
        <charset val="134"/>
      </rPr>
      <t xml:space="preserve">  </t>
    </r>
    <phoneticPr fontId="9" type="noConversion"/>
  </si>
  <si>
    <r>
      <t xml:space="preserve">MTBF  
(分)  
</t>
    </r>
    <r>
      <rPr>
        <b/>
        <sz val="10"/>
        <color indexed="8"/>
        <rFont val="微软雅黑"/>
        <family val="2"/>
        <charset val="134"/>
      </rPr>
      <t xml:space="preserve">(设备管理系统) </t>
    </r>
    <r>
      <rPr>
        <b/>
        <sz val="12"/>
        <color indexed="8"/>
        <rFont val="微软雅黑"/>
        <family val="2"/>
        <charset val="134"/>
      </rPr>
      <t xml:space="preserve">   </t>
    </r>
    <phoneticPr fontId="9" type="noConversion"/>
  </si>
  <si>
    <r>
      <t xml:space="preserve">MTTR
(分) 
</t>
    </r>
    <r>
      <rPr>
        <b/>
        <sz val="10"/>
        <color indexed="8"/>
        <rFont val="微软雅黑"/>
        <family val="2"/>
        <charset val="134"/>
      </rPr>
      <t xml:space="preserve">(设备管理系统) </t>
    </r>
    <phoneticPr fontId="9" type="noConversion"/>
  </si>
  <si>
    <r>
      <t xml:space="preserve">MTR
(分)
</t>
    </r>
    <r>
      <rPr>
        <b/>
        <sz val="10"/>
        <color indexed="8"/>
        <rFont val="微软雅黑"/>
        <family val="2"/>
        <charset val="134"/>
      </rPr>
      <t xml:space="preserve">(设备管理系统)  </t>
    </r>
    <r>
      <rPr>
        <b/>
        <sz val="12"/>
        <color indexed="8"/>
        <rFont val="微软雅黑"/>
        <family val="2"/>
        <charset val="134"/>
      </rPr>
      <t xml:space="preserve">     </t>
    </r>
    <phoneticPr fontId="9" type="noConversion"/>
  </si>
  <si>
    <r>
      <t xml:space="preserve">其他停止时间 I </t>
    </r>
    <r>
      <rPr>
        <b/>
        <sz val="11"/>
        <color indexed="10"/>
        <rFont val="微软雅黑"/>
        <family val="2"/>
        <charset val="134"/>
      </rPr>
      <t>(现场人工)</t>
    </r>
    <phoneticPr fontId="9" type="noConversion"/>
  </si>
  <si>
    <r>
      <t xml:space="preserve">设备故障次数
</t>
    </r>
    <r>
      <rPr>
        <b/>
        <sz val="9"/>
        <color indexed="10"/>
        <rFont val="微软雅黑"/>
        <family val="2"/>
        <charset val="134"/>
      </rPr>
      <t>(现场人工)</t>
    </r>
    <phoneticPr fontId="9" type="noConversion"/>
  </si>
  <si>
    <t>运算栏位</t>
    <phoneticPr fontId="9" type="noConversion"/>
  </si>
  <si>
    <t>时间稼动率   
≧95%</t>
    <phoneticPr fontId="9" type="noConversion"/>
  </si>
  <si>
    <t>性能稼动率   
≧95%</t>
    <phoneticPr fontId="9" type="noConversion"/>
  </si>
  <si>
    <t>绿灯暖机</t>
    <phoneticPr fontId="9" type="noConversion"/>
  </si>
  <si>
    <t>连线计划停机时间</t>
    <phoneticPr fontId="9" type="noConversion"/>
  </si>
  <si>
    <t>分</t>
    <phoneticPr fontId="9" type="noConversion"/>
  </si>
  <si>
    <t xml:space="preserve">实际计划停机时间 
</t>
    <phoneticPr fontId="9" type="noConversion"/>
  </si>
  <si>
    <t>未填</t>
    <phoneticPr fontId="9" type="noConversion"/>
  </si>
  <si>
    <t>备注</t>
    <phoneticPr fontId="9" type="noConversion"/>
  </si>
  <si>
    <t>合计</t>
    <phoneticPr fontId="9" type="noConversion"/>
  </si>
  <si>
    <t>分</t>
    <phoneticPr fontId="9" type="noConversion"/>
  </si>
  <si>
    <t>月度</t>
    <phoneticPr fontId="9" type="noConversion"/>
  </si>
  <si>
    <t>产出工时(min)</t>
    <phoneticPr fontId="9" type="noConversion"/>
  </si>
  <si>
    <t>负荷时间(min)</t>
    <phoneticPr fontId="9" type="noConversion"/>
  </si>
  <si>
    <t>实际稼动时间 (min)</t>
    <phoneticPr fontId="9" type="noConversion"/>
  </si>
  <si>
    <t>良品率(%)</t>
    <phoneticPr fontId="9" type="noConversion"/>
  </si>
  <si>
    <t>性能稼动率(%)</t>
    <phoneticPr fontId="9" type="noConversion"/>
  </si>
  <si>
    <t>时间稼动率(%)</t>
    <phoneticPr fontId="9" type="noConversion"/>
  </si>
  <si>
    <t>OEE(%)</t>
    <phoneticPr fontId="9" type="noConversion"/>
  </si>
</sst>
</file>

<file path=xl/styles.xml><?xml version="1.0" encoding="utf-8"?>
<styleSheet xmlns="http://schemas.openxmlformats.org/spreadsheetml/2006/main">
  <numFmts count="5">
    <numFmt numFmtId="176" formatCode="0.0_ "/>
    <numFmt numFmtId="177" formatCode="0.00_ "/>
    <numFmt numFmtId="178" formatCode="0_);\(0\)"/>
    <numFmt numFmtId="179" formatCode="0.00_);[Red]\(0.00\)"/>
    <numFmt numFmtId="180" formatCode="0.0_);[Red]\(0.0\)"/>
  </numFmts>
  <fonts count="64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新細明體"/>
      <family val="1"/>
    </font>
    <font>
      <sz val="12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sz val="12"/>
      <color indexed="8"/>
      <name val="微软雅黑"/>
      <family val="2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4"/>
      <color indexed="81"/>
      <name val="Tahoma"/>
      <family val="2"/>
    </font>
    <font>
      <b/>
      <sz val="14"/>
      <color indexed="81"/>
      <name val="宋体"/>
      <family val="3"/>
      <charset val="134"/>
    </font>
    <font>
      <sz val="14"/>
      <color indexed="81"/>
      <name val="宋体"/>
      <family val="3"/>
      <charset val="134"/>
    </font>
    <font>
      <b/>
      <sz val="16"/>
      <name val="Tahoma"/>
      <family val="2"/>
    </font>
    <font>
      <sz val="16"/>
      <name val="Tahoma"/>
      <family val="2"/>
    </font>
    <font>
      <sz val="16"/>
      <name val="MingLiU"/>
      <family val="1"/>
      <charset val="136"/>
    </font>
    <font>
      <sz val="16"/>
      <name val="宋体"/>
      <family val="3"/>
      <charset val="134"/>
    </font>
    <font>
      <b/>
      <sz val="16"/>
      <color indexed="81"/>
      <name val="宋体"/>
      <family val="3"/>
      <charset val="134"/>
    </font>
    <font>
      <b/>
      <sz val="16"/>
      <color indexed="81"/>
      <name val="MingLiU"/>
      <family val="3"/>
    </font>
    <font>
      <sz val="16"/>
      <color indexed="81"/>
      <name val="宋体"/>
      <family val="3"/>
      <charset val="134"/>
    </font>
    <font>
      <sz val="16"/>
      <color indexed="81"/>
      <name val="Tahoma"/>
      <family val="2"/>
    </font>
    <font>
      <sz val="14"/>
      <color indexed="81"/>
      <name val="Tahoma"/>
      <family val="2"/>
    </font>
    <font>
      <b/>
      <sz val="12"/>
      <color indexed="81"/>
      <name val="Tahoma"/>
      <family val="2"/>
    </font>
    <font>
      <b/>
      <sz val="12"/>
      <color indexed="81"/>
      <name val="宋体"/>
      <family val="3"/>
      <charset val="134"/>
    </font>
    <font>
      <sz val="12"/>
      <color indexed="81"/>
      <name val="宋体"/>
      <family val="3"/>
      <charset val="134"/>
    </font>
    <font>
      <sz val="12"/>
      <color indexed="81"/>
      <name val="Tahoma"/>
      <family val="2"/>
    </font>
    <font>
      <b/>
      <sz val="11"/>
      <color indexed="81"/>
      <name val="宋体"/>
      <family val="3"/>
      <charset val="134"/>
    </font>
    <font>
      <sz val="14"/>
      <name val="微软雅黑"/>
      <family val="2"/>
      <charset val="134"/>
    </font>
    <font>
      <b/>
      <sz val="22"/>
      <name val="微软雅黑"/>
      <family val="2"/>
      <charset val="134"/>
    </font>
    <font>
      <b/>
      <sz val="14"/>
      <name val="微软雅黑"/>
      <family val="2"/>
      <charset val="134"/>
    </font>
    <font>
      <b/>
      <sz val="14"/>
      <color indexed="9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b/>
      <sz val="12"/>
      <name val="微软雅黑"/>
      <family val="2"/>
      <charset val="134"/>
    </font>
    <font>
      <b/>
      <sz val="9"/>
      <color indexed="10"/>
      <name val="微软雅黑"/>
      <family val="2"/>
      <charset val="134"/>
    </font>
    <font>
      <sz val="14"/>
      <color indexed="60"/>
      <name val="微软雅黑"/>
      <family val="2"/>
      <charset val="134"/>
    </font>
    <font>
      <b/>
      <sz val="14"/>
      <color indexed="10"/>
      <name val="微软雅黑"/>
      <family val="2"/>
      <charset val="134"/>
    </font>
    <font>
      <b/>
      <sz val="14"/>
      <color indexed="12"/>
      <name val="微软雅黑"/>
      <family val="2"/>
      <charset val="134"/>
    </font>
    <font>
      <sz val="14"/>
      <color indexed="8"/>
      <name val="微软雅黑"/>
      <family val="2"/>
      <charset val="134"/>
    </font>
    <font>
      <sz val="14"/>
      <color indexed="12"/>
      <name val="微软雅黑"/>
      <family val="2"/>
      <charset val="134"/>
    </font>
    <font>
      <b/>
      <sz val="24"/>
      <name val="微软雅黑"/>
      <family val="2"/>
      <charset val="134"/>
    </font>
    <font>
      <b/>
      <sz val="24"/>
      <color indexed="10"/>
      <name val="微软雅黑"/>
      <family val="2"/>
      <charset val="134"/>
    </font>
    <font>
      <sz val="9"/>
      <name val="宋体"/>
      <family val="3"/>
      <charset val="134"/>
    </font>
    <font>
      <sz val="16"/>
      <name val="微软雅黑"/>
      <family val="2"/>
      <charset val="134"/>
    </font>
    <font>
      <b/>
      <sz val="16"/>
      <color indexed="81"/>
      <name val="Tahoma"/>
      <family val="2"/>
    </font>
    <font>
      <b/>
      <sz val="18"/>
      <color indexed="81"/>
      <name val="Tahoma"/>
      <family val="2"/>
    </font>
    <font>
      <sz val="18"/>
      <color indexed="81"/>
      <name val="Tahoma"/>
      <family val="2"/>
    </font>
    <font>
      <sz val="18"/>
      <color indexed="81"/>
      <name val="宋体"/>
      <family val="3"/>
      <charset val="134"/>
    </font>
    <font>
      <b/>
      <sz val="18"/>
      <color indexed="81"/>
      <name val="宋体"/>
      <family val="3"/>
      <charset val="134"/>
    </font>
    <font>
      <b/>
      <sz val="11"/>
      <color indexed="10"/>
      <name val="微软雅黑"/>
      <family val="2"/>
      <charset val="134"/>
    </font>
    <font>
      <b/>
      <sz val="16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4"/>
      <color rgb="FFFF00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2"/>
      <name val="Arial"/>
      <family val="2"/>
    </font>
    <font>
      <sz val="1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0">
    <xf numFmtId="0" fontId="0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0" fontId="2" fillId="0" borderId="0"/>
    <xf numFmtId="0" fontId="2" fillId="0" borderId="0"/>
    <xf numFmtId="0" fontId="11" fillId="0" borderId="0">
      <alignment vertical="center"/>
    </xf>
    <xf numFmtId="0" fontId="10" fillId="0" borderId="0"/>
    <xf numFmtId="0" fontId="3" fillId="0" borderId="0"/>
  </cellStyleXfs>
  <cellXfs count="177">
    <xf numFmtId="0" fontId="0" fillId="0" borderId="0" xfId="0"/>
    <xf numFmtId="0" fontId="4" fillId="0" borderId="1" xfId="8" applyFont="1" applyBorder="1" applyAlignment="1" applyProtection="1">
      <alignment horizontal="center" vertical="center"/>
      <protection locked="0"/>
    </xf>
    <xf numFmtId="0" fontId="29" fillId="0" borderId="1" xfId="8" applyFont="1" applyBorder="1" applyAlignment="1" applyProtection="1">
      <alignment horizontal="center" vertical="center"/>
      <protection locked="0"/>
    </xf>
    <xf numFmtId="0" fontId="4" fillId="0" borderId="0" xfId="8" applyFont="1"/>
    <xf numFmtId="0" fontId="4" fillId="0" borderId="2" xfId="8" applyFont="1" applyBorder="1" applyAlignment="1" applyProtection="1">
      <alignment horizontal="center" vertical="center"/>
      <protection locked="0"/>
    </xf>
    <xf numFmtId="0" fontId="29" fillId="0" borderId="2" xfId="8" applyFont="1" applyBorder="1" applyAlignment="1" applyProtection="1">
      <alignment horizontal="center" vertical="center"/>
      <protection locked="0"/>
    </xf>
    <xf numFmtId="0" fontId="6" fillId="0" borderId="0" xfId="8" applyFont="1"/>
    <xf numFmtId="0" fontId="4" fillId="0" borderId="0" xfId="8" applyFont="1" applyAlignment="1">
      <alignment horizontal="center"/>
    </xf>
    <xf numFmtId="0" fontId="29" fillId="2" borderId="3" xfId="5" applyFont="1" applyFill="1" applyBorder="1" applyAlignment="1">
      <alignment horizontal="center" vertical="center" wrapText="1"/>
    </xf>
    <xf numFmtId="10" fontId="36" fillId="2" borderId="4" xfId="2" applyNumberFormat="1" applyFont="1" applyFill="1" applyBorder="1" applyAlignment="1">
      <alignment horizontal="center" vertical="center" wrapText="1"/>
    </xf>
    <xf numFmtId="10" fontId="29" fillId="2" borderId="4" xfId="2" applyNumberFormat="1" applyFont="1" applyFill="1" applyBorder="1" applyAlignment="1">
      <alignment horizontal="center" vertical="center" wrapText="1"/>
    </xf>
    <xf numFmtId="10" fontId="36" fillId="2" borderId="3" xfId="2" applyNumberFormat="1" applyFont="1" applyFill="1" applyBorder="1" applyAlignment="1">
      <alignment horizontal="center" vertical="center" wrapText="1"/>
    </xf>
    <xf numFmtId="0" fontId="29" fillId="2" borderId="5" xfId="5" applyFont="1" applyFill="1" applyBorder="1" applyAlignment="1">
      <alignment horizontal="center" vertical="center" wrapText="1"/>
    </xf>
    <xf numFmtId="0" fontId="29" fillId="2" borderId="6" xfId="5" applyFont="1" applyFill="1" applyBorder="1" applyAlignment="1">
      <alignment horizontal="center" vertical="center" wrapText="1"/>
    </xf>
    <xf numFmtId="0" fontId="34" fillId="0" borderId="0" xfId="8" applyFont="1" applyFill="1"/>
    <xf numFmtId="0" fontId="29" fillId="6" borderId="4" xfId="0" applyFont="1" applyFill="1" applyBorder="1" applyAlignment="1">
      <alignment horizontal="center" vertical="center" wrapText="1"/>
    </xf>
    <xf numFmtId="0" fontId="31" fillId="0" borderId="7" xfId="8" applyFont="1" applyBorder="1" applyAlignment="1">
      <alignment horizontal="center" vertical="center" wrapText="1"/>
    </xf>
    <xf numFmtId="0" fontId="5" fillId="0" borderId="8" xfId="8" applyFont="1" applyBorder="1" applyAlignment="1">
      <alignment horizontal="center" vertical="center" wrapText="1"/>
    </xf>
    <xf numFmtId="0" fontId="31" fillId="0" borderId="8" xfId="8" applyFont="1" applyBorder="1" applyAlignment="1">
      <alignment horizontal="center" vertical="center" wrapText="1"/>
    </xf>
    <xf numFmtId="0" fontId="31" fillId="0" borderId="1" xfId="8" applyFont="1" applyFill="1" applyBorder="1" applyAlignment="1">
      <alignment horizontal="center" vertical="center" wrapText="1"/>
    </xf>
    <xf numFmtId="0" fontId="31" fillId="0" borderId="9" xfId="8" applyFont="1" applyFill="1" applyBorder="1" applyAlignment="1">
      <alignment horizontal="center" vertical="center" wrapText="1"/>
    </xf>
    <xf numFmtId="0" fontId="29" fillId="0" borderId="10" xfId="8" applyFont="1" applyBorder="1" applyAlignment="1">
      <alignment horizontal="center" vertical="center"/>
    </xf>
    <xf numFmtId="0" fontId="39" fillId="0" borderId="11" xfId="8" applyFont="1" applyBorder="1" applyAlignment="1">
      <alignment horizontal="center" vertical="center"/>
    </xf>
    <xf numFmtId="0" fontId="29" fillId="0" borderId="11" xfId="8" applyFont="1" applyBorder="1" applyAlignment="1">
      <alignment horizontal="center" vertical="center"/>
    </xf>
    <xf numFmtId="0" fontId="29" fillId="0" borderId="11" xfId="8" applyFont="1" applyBorder="1" applyAlignment="1">
      <alignment horizontal="center" vertical="center" wrapText="1"/>
    </xf>
    <xf numFmtId="0" fontId="29" fillId="0" borderId="11" xfId="8" applyFont="1" applyFill="1" applyBorder="1" applyAlignment="1">
      <alignment horizontal="center" vertical="center"/>
    </xf>
    <xf numFmtId="0" fontId="29" fillId="0" borderId="0" xfId="8" applyFont="1"/>
    <xf numFmtId="0" fontId="5" fillId="0" borderId="12" xfId="8" applyFont="1" applyBorder="1" applyAlignment="1">
      <alignment horizontal="center" vertical="center" wrapText="1"/>
    </xf>
    <xf numFmtId="0" fontId="5" fillId="0" borderId="13" xfId="8" applyFont="1" applyBorder="1" applyAlignment="1">
      <alignment horizontal="center"/>
    </xf>
    <xf numFmtId="0" fontId="31" fillId="0" borderId="13" xfId="8" applyFont="1" applyBorder="1" applyAlignment="1">
      <alignment horizontal="center"/>
    </xf>
    <xf numFmtId="0" fontId="31" fillId="0" borderId="13" xfId="8" applyFont="1" applyFill="1" applyBorder="1" applyAlignment="1">
      <alignment horizontal="center"/>
    </xf>
    <xf numFmtId="0" fontId="31" fillId="0" borderId="0" xfId="8" applyFont="1"/>
    <xf numFmtId="0" fontId="29" fillId="0" borderId="4" xfId="0" applyFont="1" applyFill="1" applyBorder="1" applyAlignment="1">
      <alignment horizontal="center" vertical="center" wrapText="1"/>
    </xf>
    <xf numFmtId="0" fontId="4" fillId="0" borderId="0" xfId="8" applyFont="1" applyFill="1"/>
    <xf numFmtId="0" fontId="44" fillId="0" borderId="8" xfId="8" applyFont="1" applyBorder="1" applyAlignment="1">
      <alignment horizontal="center" shrinkToFit="1"/>
    </xf>
    <xf numFmtId="0" fontId="44" fillId="0" borderId="1" xfId="8" applyFont="1" applyBorder="1" applyAlignment="1">
      <alignment horizontal="center" shrinkToFit="1"/>
    </xf>
    <xf numFmtId="178" fontId="44" fillId="0" borderId="11" xfId="8" applyNumberFormat="1" applyFont="1" applyBorder="1" applyAlignment="1">
      <alignment horizontal="center" shrinkToFit="1"/>
    </xf>
    <xf numFmtId="0" fontId="29" fillId="6" borderId="14" xfId="0" applyFont="1" applyFill="1" applyBorder="1" applyAlignment="1">
      <alignment horizontal="center" vertical="center" wrapText="1"/>
    </xf>
    <xf numFmtId="0" fontId="29" fillId="6" borderId="15" xfId="0" applyFont="1" applyFill="1" applyBorder="1" applyAlignment="1">
      <alignment horizontal="center" vertical="center" wrapText="1"/>
    </xf>
    <xf numFmtId="9" fontId="29" fillId="2" borderId="16" xfId="2" applyFont="1" applyFill="1" applyBorder="1" applyAlignment="1">
      <alignment horizontal="center" vertical="center" wrapText="1"/>
    </xf>
    <xf numFmtId="0" fontId="29" fillId="0" borderId="17" xfId="0" applyFont="1" applyFill="1" applyBorder="1" applyAlignment="1">
      <alignment horizontal="center" vertical="center" wrapText="1"/>
    </xf>
    <xf numFmtId="0" fontId="44" fillId="0" borderId="0" xfId="8" applyFont="1" applyAlignment="1">
      <alignment vertical="top" wrapText="1"/>
    </xf>
    <xf numFmtId="0" fontId="44" fillId="0" borderId="0" xfId="8" applyFont="1" applyFill="1" applyAlignment="1">
      <alignment vertical="top" wrapText="1"/>
    </xf>
    <xf numFmtId="0" fontId="51" fillId="0" borderId="7" xfId="8" applyFont="1" applyFill="1" applyBorder="1" applyAlignment="1">
      <alignment horizontal="center" shrinkToFit="1"/>
    </xf>
    <xf numFmtId="0" fontId="51" fillId="0" borderId="18" xfId="8" applyFont="1" applyFill="1" applyBorder="1" applyAlignment="1">
      <alignment horizontal="center" shrinkToFit="1"/>
    </xf>
    <xf numFmtId="0" fontId="51" fillId="0" borderId="19" xfId="8" applyFont="1" applyFill="1" applyBorder="1" applyAlignment="1">
      <alignment horizontal="center" shrinkToFit="1"/>
    </xf>
    <xf numFmtId="0" fontId="31" fillId="0" borderId="16" xfId="0" applyFont="1" applyFill="1" applyBorder="1" applyAlignment="1">
      <alignment horizontal="center" vertical="center" wrapText="1"/>
    </xf>
    <xf numFmtId="0" fontId="31" fillId="0" borderId="20" xfId="0" applyFont="1" applyFill="1" applyBorder="1" applyAlignment="1">
      <alignment horizontal="center" vertical="center" wrapText="1"/>
    </xf>
    <xf numFmtId="0" fontId="54" fillId="0" borderId="4" xfId="0" applyFont="1" applyFill="1" applyBorder="1" applyAlignment="1">
      <alignment horizontal="center" vertical="center" wrapText="1"/>
    </xf>
    <xf numFmtId="0" fontId="55" fillId="6" borderId="13" xfId="8" applyFont="1" applyFill="1" applyBorder="1" applyAlignment="1">
      <alignment horizontal="center"/>
    </xf>
    <xf numFmtId="0" fontId="56" fillId="6" borderId="21" xfId="8" applyFont="1" applyFill="1" applyBorder="1" applyAlignment="1">
      <alignment horizontal="center" vertical="center" wrapText="1"/>
    </xf>
    <xf numFmtId="0" fontId="54" fillId="6" borderId="11" xfId="8" applyFont="1" applyFill="1" applyBorder="1" applyAlignment="1">
      <alignment horizontal="center" vertical="center" wrapText="1"/>
    </xf>
    <xf numFmtId="0" fontId="55" fillId="6" borderId="12" xfId="8" applyFont="1" applyFill="1" applyBorder="1" applyAlignment="1">
      <alignment horizontal="center"/>
    </xf>
    <xf numFmtId="0" fontId="55" fillId="3" borderId="22" xfId="7" applyFont="1" applyFill="1" applyBorder="1" applyAlignment="1">
      <alignment horizontal="center" vertical="center" wrapText="1"/>
    </xf>
    <xf numFmtId="0" fontId="56" fillId="3" borderId="22" xfId="7" applyFont="1" applyFill="1" applyBorder="1" applyAlignment="1">
      <alignment horizontal="center" vertical="center" wrapText="1"/>
    </xf>
    <xf numFmtId="0" fontId="55" fillId="3" borderId="23" xfId="7" applyFont="1" applyFill="1" applyBorder="1" applyAlignment="1">
      <alignment horizontal="center" vertical="center" wrapText="1"/>
    </xf>
    <xf numFmtId="0" fontId="54" fillId="6" borderId="24" xfId="8" applyFont="1" applyFill="1" applyBorder="1" applyAlignment="1">
      <alignment horizontal="center" vertical="center" wrapText="1"/>
    </xf>
    <xf numFmtId="0" fontId="54" fillId="6" borderId="25" xfId="8" applyFont="1" applyFill="1" applyBorder="1" applyAlignment="1">
      <alignment horizontal="center" vertical="center" wrapText="1"/>
    </xf>
    <xf numFmtId="0" fontId="31" fillId="7" borderId="12" xfId="8" applyFont="1" applyFill="1" applyBorder="1" applyAlignment="1">
      <alignment horizontal="center"/>
    </xf>
    <xf numFmtId="0" fontId="31" fillId="7" borderId="13" xfId="8" applyFont="1" applyFill="1" applyBorder="1" applyAlignment="1">
      <alignment horizontal="center"/>
    </xf>
    <xf numFmtId="0" fontId="31" fillId="7" borderId="13" xfId="8" applyFont="1" applyFill="1" applyBorder="1" applyAlignment="1" applyProtection="1">
      <alignment horizontal="center"/>
      <protection locked="0"/>
    </xf>
    <xf numFmtId="0" fontId="31" fillId="7" borderId="7" xfId="8" applyFont="1" applyFill="1" applyBorder="1" applyAlignment="1">
      <alignment horizontal="center" vertical="center" wrapText="1"/>
    </xf>
    <xf numFmtId="0" fontId="31" fillId="7" borderId="8" xfId="8" applyFont="1" applyFill="1" applyBorder="1" applyAlignment="1">
      <alignment horizontal="center" vertical="center" wrapText="1"/>
    </xf>
    <xf numFmtId="0" fontId="31" fillId="7" borderId="1" xfId="8" applyFont="1" applyFill="1" applyBorder="1" applyAlignment="1">
      <alignment horizontal="center" vertical="center" wrapText="1"/>
    </xf>
    <xf numFmtId="0" fontId="37" fillId="7" borderId="8" xfId="8" applyFont="1" applyFill="1" applyBorder="1" applyAlignment="1">
      <alignment horizontal="center" vertical="center" wrapText="1"/>
    </xf>
    <xf numFmtId="0" fontId="5" fillId="7" borderId="8" xfId="8" applyFont="1" applyFill="1" applyBorder="1" applyAlignment="1">
      <alignment horizontal="center" vertical="center" wrapText="1"/>
    </xf>
    <xf numFmtId="0" fontId="38" fillId="7" borderId="8" xfId="8" applyFont="1" applyFill="1" applyBorder="1" applyAlignment="1">
      <alignment horizontal="center" vertical="center" wrapText="1"/>
    </xf>
    <xf numFmtId="0" fontId="29" fillId="7" borderId="19" xfId="8" applyFont="1" applyFill="1" applyBorder="1" applyAlignment="1">
      <alignment horizontal="center" vertical="center" wrapText="1"/>
    </xf>
    <xf numFmtId="0" fontId="29" fillId="7" borderId="11" xfId="8" applyFont="1" applyFill="1" applyBorder="1" applyAlignment="1">
      <alignment horizontal="center" vertical="center" wrapText="1"/>
    </xf>
    <xf numFmtId="0" fontId="39" fillId="7" borderId="11" xfId="8" applyFont="1" applyFill="1" applyBorder="1" applyAlignment="1">
      <alignment horizontal="center" vertical="center" wrapText="1"/>
    </xf>
    <xf numFmtId="0" fontId="40" fillId="7" borderId="11" xfId="8" applyFont="1" applyFill="1" applyBorder="1" applyAlignment="1">
      <alignment horizontal="center" vertical="center"/>
    </xf>
    <xf numFmtId="0" fontId="29" fillId="8" borderId="14" xfId="0" applyFont="1" applyFill="1" applyBorder="1" applyAlignment="1">
      <alignment horizontal="center" vertical="center" wrapText="1"/>
    </xf>
    <xf numFmtId="0" fontId="29" fillId="8" borderId="4" xfId="0" applyFont="1" applyFill="1" applyBorder="1" applyAlignment="1">
      <alignment horizontal="center" vertical="center" wrapText="1"/>
    </xf>
    <xf numFmtId="176" fontId="29" fillId="8" borderId="15" xfId="0" applyNumberFormat="1" applyFont="1" applyFill="1" applyBorder="1" applyAlignment="1">
      <alignment horizontal="center" vertical="center" wrapText="1"/>
    </xf>
    <xf numFmtId="0" fontId="29" fillId="8" borderId="26" xfId="0" applyFont="1" applyFill="1" applyBorder="1" applyAlignment="1">
      <alignment horizontal="center" vertical="center" wrapText="1"/>
    </xf>
    <xf numFmtId="0" fontId="29" fillId="8" borderId="17" xfId="0" applyFont="1" applyFill="1" applyBorder="1" applyAlignment="1">
      <alignment horizontal="center" vertical="center" wrapText="1"/>
    </xf>
    <xf numFmtId="176" fontId="29" fillId="8" borderId="27" xfId="0" applyNumberFormat="1" applyFont="1" applyFill="1" applyBorder="1" applyAlignment="1">
      <alignment horizontal="center" vertical="center" wrapText="1"/>
    </xf>
    <xf numFmtId="0" fontId="57" fillId="8" borderId="8" xfId="8" applyFont="1" applyFill="1" applyBorder="1" applyAlignment="1">
      <alignment horizontal="center" shrinkToFit="1"/>
    </xf>
    <xf numFmtId="0" fontId="57" fillId="8" borderId="1" xfId="8" applyFont="1" applyFill="1" applyBorder="1" applyAlignment="1">
      <alignment horizontal="center" shrinkToFit="1"/>
    </xf>
    <xf numFmtId="178" fontId="57" fillId="8" borderId="11" xfId="8" applyNumberFormat="1" applyFont="1" applyFill="1" applyBorder="1" applyAlignment="1">
      <alignment horizontal="center" shrinkToFit="1"/>
    </xf>
    <xf numFmtId="0" fontId="55" fillId="8" borderId="13" xfId="8" applyFont="1" applyFill="1" applyBorder="1" applyAlignment="1">
      <alignment horizontal="center"/>
    </xf>
    <xf numFmtId="0" fontId="55" fillId="8" borderId="8" xfId="8" applyFont="1" applyFill="1" applyBorder="1" applyAlignment="1">
      <alignment horizontal="center" vertical="center" wrapText="1"/>
    </xf>
    <xf numFmtId="0" fontId="54" fillId="8" borderId="11" xfId="8" applyFont="1" applyFill="1" applyBorder="1" applyAlignment="1">
      <alignment horizontal="center" vertical="center" wrapText="1"/>
    </xf>
    <xf numFmtId="0" fontId="5" fillId="8" borderId="13" xfId="8" applyFont="1" applyFill="1" applyBorder="1" applyAlignment="1">
      <alignment horizontal="center"/>
    </xf>
    <xf numFmtId="0" fontId="33" fillId="8" borderId="21" xfId="8" applyFont="1" applyFill="1" applyBorder="1" applyAlignment="1">
      <alignment horizontal="center" vertical="center" wrapText="1"/>
    </xf>
    <xf numFmtId="0" fontId="29" fillId="8" borderId="11" xfId="8" applyFont="1" applyFill="1" applyBorder="1" applyAlignment="1">
      <alignment horizontal="center" vertical="center" wrapText="1"/>
    </xf>
    <xf numFmtId="0" fontId="5" fillId="8" borderId="28" xfId="8" applyFont="1" applyFill="1" applyBorder="1" applyAlignment="1">
      <alignment horizontal="center"/>
    </xf>
    <xf numFmtId="0" fontId="5" fillId="8" borderId="29" xfId="8" applyFont="1" applyFill="1" applyBorder="1" applyAlignment="1">
      <alignment horizontal="center"/>
    </xf>
    <xf numFmtId="0" fontId="34" fillId="8" borderId="8" xfId="8" applyFont="1" applyFill="1" applyBorder="1" applyAlignment="1">
      <alignment horizontal="center" vertical="center" wrapText="1"/>
    </xf>
    <xf numFmtId="0" fontId="34" fillId="8" borderId="30" xfId="8" applyFont="1" applyFill="1" applyBorder="1" applyAlignment="1">
      <alignment horizontal="center" vertical="center" wrapText="1"/>
    </xf>
    <xf numFmtId="0" fontId="29" fillId="8" borderId="31" xfId="8" applyFont="1" applyFill="1" applyBorder="1" applyAlignment="1">
      <alignment horizontal="center" vertical="center" wrapText="1"/>
    </xf>
    <xf numFmtId="0" fontId="31" fillId="8" borderId="21" xfId="8" applyFont="1" applyFill="1" applyBorder="1" applyAlignment="1">
      <alignment horizontal="center"/>
    </xf>
    <xf numFmtId="0" fontId="33" fillId="8" borderId="8" xfId="8" applyFont="1" applyFill="1" applyBorder="1" applyAlignment="1">
      <alignment horizontal="center" vertical="center" wrapText="1"/>
    </xf>
    <xf numFmtId="0" fontId="39" fillId="8" borderId="11" xfId="8" applyFont="1" applyFill="1" applyBorder="1" applyAlignment="1">
      <alignment horizontal="center" vertical="center"/>
    </xf>
    <xf numFmtId="0" fontId="31" fillId="8" borderId="32" xfId="8" applyFont="1" applyFill="1" applyBorder="1" applyAlignment="1">
      <alignment horizontal="center"/>
    </xf>
    <xf numFmtId="0" fontId="33" fillId="9" borderId="8" xfId="8" applyFont="1" applyFill="1" applyBorder="1" applyAlignment="1">
      <alignment horizontal="center" vertical="center" wrapText="1"/>
    </xf>
    <xf numFmtId="0" fontId="39" fillId="9" borderId="11" xfId="8" applyFont="1" applyFill="1" applyBorder="1" applyAlignment="1">
      <alignment horizontal="center" vertical="center"/>
    </xf>
    <xf numFmtId="0" fontId="55" fillId="10" borderId="13" xfId="8" applyFont="1" applyFill="1" applyBorder="1" applyAlignment="1">
      <alignment horizontal="center"/>
    </xf>
    <xf numFmtId="0" fontId="55" fillId="10" borderId="33" xfId="8" applyFont="1" applyFill="1" applyBorder="1" applyAlignment="1">
      <alignment horizontal="center"/>
    </xf>
    <xf numFmtId="0" fontId="55" fillId="10" borderId="22" xfId="7" applyFont="1" applyFill="1" applyBorder="1" applyAlignment="1">
      <alignment horizontal="center" vertical="center" wrapText="1"/>
    </xf>
    <xf numFmtId="0" fontId="54" fillId="10" borderId="11" xfId="8" applyFont="1" applyFill="1" applyBorder="1" applyAlignment="1">
      <alignment horizontal="center" vertical="center" wrapText="1"/>
    </xf>
    <xf numFmtId="0" fontId="55" fillId="11" borderId="22" xfId="7" applyFont="1" applyFill="1" applyBorder="1" applyAlignment="1">
      <alignment horizontal="center" vertical="center" wrapText="1"/>
    </xf>
    <xf numFmtId="0" fontId="54" fillId="11" borderId="11" xfId="8" applyFont="1" applyFill="1" applyBorder="1" applyAlignment="1">
      <alignment horizontal="center" vertical="center" wrapText="1"/>
    </xf>
    <xf numFmtId="0" fontId="54" fillId="10" borderId="14" xfId="0" applyFont="1" applyFill="1" applyBorder="1" applyAlignment="1">
      <alignment horizontal="center" vertical="center" wrapText="1"/>
    </xf>
    <xf numFmtId="0" fontId="54" fillId="10" borderId="4" xfId="0" applyFont="1" applyFill="1" applyBorder="1" applyAlignment="1">
      <alignment horizontal="center" vertical="center" wrapText="1"/>
    </xf>
    <xf numFmtId="0" fontId="54" fillId="10" borderId="15" xfId="0" applyFont="1" applyFill="1" applyBorder="1" applyAlignment="1">
      <alignment horizontal="center" vertical="center" wrapText="1"/>
    </xf>
    <xf numFmtId="0" fontId="56" fillId="6" borderId="34" xfId="8" applyFont="1" applyFill="1" applyBorder="1" applyAlignment="1">
      <alignment horizontal="center" vertical="center" wrapText="1"/>
    </xf>
    <xf numFmtId="0" fontId="55" fillId="3" borderId="32" xfId="8" applyFont="1" applyFill="1" applyBorder="1" applyAlignment="1">
      <alignment horizontal="center"/>
    </xf>
    <xf numFmtId="0" fontId="55" fillId="3" borderId="1" xfId="7" applyFont="1" applyFill="1" applyBorder="1" applyAlignment="1">
      <alignment horizontal="center" vertical="center" wrapText="1"/>
    </xf>
    <xf numFmtId="0" fontId="54" fillId="6" borderId="35" xfId="8" applyFont="1" applyFill="1" applyBorder="1" applyAlignment="1">
      <alignment horizontal="center" vertical="center" wrapText="1"/>
    </xf>
    <xf numFmtId="0" fontId="29" fillId="6" borderId="3" xfId="0" applyFont="1" applyFill="1" applyBorder="1" applyAlignment="1">
      <alignment horizontal="center" vertical="center" wrapText="1"/>
    </xf>
    <xf numFmtId="0" fontId="54" fillId="6" borderId="1" xfId="8" applyFont="1" applyFill="1" applyBorder="1" applyAlignment="1">
      <alignment horizontal="center" vertical="center" wrapText="1"/>
    </xf>
    <xf numFmtId="0" fontId="55" fillId="6" borderId="22" xfId="7" applyFont="1" applyFill="1" applyBorder="1" applyAlignment="1">
      <alignment horizontal="center" vertical="center" wrapText="1"/>
    </xf>
    <xf numFmtId="0" fontId="54" fillId="6" borderId="4" xfId="0" applyFont="1" applyFill="1" applyBorder="1" applyAlignment="1">
      <alignment horizontal="center" vertical="center" wrapText="1"/>
    </xf>
    <xf numFmtId="0" fontId="31" fillId="8" borderId="33" xfId="8" applyFont="1" applyFill="1" applyBorder="1" applyAlignment="1">
      <alignment horizontal="center"/>
    </xf>
    <xf numFmtId="0" fontId="33" fillId="8" borderId="36" xfId="8" applyFont="1" applyFill="1" applyBorder="1" applyAlignment="1">
      <alignment horizontal="center" vertical="center" wrapText="1"/>
    </xf>
    <xf numFmtId="0" fontId="39" fillId="8" borderId="25" xfId="8" applyFont="1" applyFill="1" applyBorder="1" applyAlignment="1">
      <alignment horizontal="center" vertical="center"/>
    </xf>
    <xf numFmtId="0" fontId="29" fillId="2" borderId="37" xfId="5" applyFont="1" applyFill="1" applyBorder="1" applyAlignment="1">
      <alignment horizontal="center" vertical="center" wrapText="1"/>
    </xf>
    <xf numFmtId="0" fontId="4" fillId="0" borderId="1" xfId="8" applyFont="1" applyBorder="1"/>
    <xf numFmtId="0" fontId="31" fillId="0" borderId="1" xfId="8" applyFont="1" applyBorder="1"/>
    <xf numFmtId="0" fontId="29" fillId="0" borderId="1" xfId="8" applyFont="1" applyBorder="1"/>
    <xf numFmtId="0" fontId="4" fillId="0" borderId="1" xfId="8" applyFont="1" applyFill="1" applyBorder="1"/>
    <xf numFmtId="0" fontId="34" fillId="0" borderId="1" xfId="8" applyFont="1" applyFill="1" applyBorder="1"/>
    <xf numFmtId="0" fontId="4" fillId="0" borderId="1" xfId="8" applyFont="1" applyBorder="1" applyAlignment="1">
      <alignment horizontal="center" vertical="center"/>
    </xf>
    <xf numFmtId="0" fontId="54" fillId="6" borderId="14" xfId="0" applyFont="1" applyFill="1" applyBorder="1" applyAlignment="1">
      <alignment horizontal="center" vertical="center" wrapText="1"/>
    </xf>
    <xf numFmtId="0" fontId="54" fillId="6" borderId="15" xfId="0" applyFont="1" applyFill="1" applyBorder="1" applyAlignment="1">
      <alignment horizontal="center" vertical="center" wrapText="1"/>
    </xf>
    <xf numFmtId="0" fontId="58" fillId="2" borderId="4" xfId="6" applyFont="1" applyFill="1" applyBorder="1" applyAlignment="1">
      <alignment horizontal="center" vertical="center" wrapText="1"/>
    </xf>
    <xf numFmtId="0" fontId="55" fillId="13" borderId="1" xfId="7" applyFont="1" applyFill="1" applyBorder="1" applyAlignment="1">
      <alignment horizontal="center" vertical="center" wrapText="1"/>
    </xf>
    <xf numFmtId="0" fontId="54" fillId="13" borderId="1" xfId="8" applyFont="1" applyFill="1" applyBorder="1" applyAlignment="1">
      <alignment horizontal="center" vertical="center" wrapText="1"/>
    </xf>
    <xf numFmtId="0" fontId="29" fillId="13" borderId="3" xfId="0" applyFont="1" applyFill="1" applyBorder="1" applyAlignment="1">
      <alignment horizontal="center" vertical="center" wrapText="1"/>
    </xf>
    <xf numFmtId="0" fontId="29" fillId="13" borderId="14" xfId="0" applyFont="1" applyFill="1" applyBorder="1" applyAlignment="1">
      <alignment horizontal="center" vertical="center" wrapText="1"/>
    </xf>
    <xf numFmtId="0" fontId="29" fillId="13" borderId="4" xfId="0" applyFont="1" applyFill="1" applyBorder="1" applyAlignment="1">
      <alignment horizontal="center" vertical="center" wrapText="1"/>
    </xf>
    <xf numFmtId="0" fontId="29" fillId="13" borderId="15" xfId="0" applyFont="1" applyFill="1" applyBorder="1" applyAlignment="1">
      <alignment horizontal="center" vertical="center" wrapText="1"/>
    </xf>
    <xf numFmtId="0" fontId="34" fillId="0" borderId="1" xfId="9" applyFont="1" applyFill="1" applyBorder="1" applyAlignment="1">
      <alignment horizontal="center" vertical="center"/>
    </xf>
    <xf numFmtId="179" fontId="4" fillId="0" borderId="1" xfId="9" applyNumberFormat="1" applyFont="1" applyFill="1" applyBorder="1" applyAlignment="1">
      <alignment horizontal="center" vertical="center"/>
    </xf>
    <xf numFmtId="180" fontId="60" fillId="0" borderId="1" xfId="0" applyNumberFormat="1" applyFont="1" applyBorder="1" applyAlignment="1">
      <alignment horizontal="center"/>
    </xf>
    <xf numFmtId="179" fontId="62" fillId="0" borderId="1" xfId="0" applyNumberFormat="1" applyFont="1" applyFill="1" applyBorder="1" applyAlignment="1">
      <alignment horizontal="center" vertical="center"/>
    </xf>
    <xf numFmtId="176" fontId="62" fillId="0" borderId="1" xfId="0" applyNumberFormat="1" applyFont="1" applyFill="1" applyBorder="1" applyAlignment="1">
      <alignment horizontal="center" vertical="center"/>
    </xf>
    <xf numFmtId="176" fontId="60" fillId="0" borderId="1" xfId="0" applyNumberFormat="1" applyFont="1" applyBorder="1" applyAlignment="1">
      <alignment horizontal="center"/>
    </xf>
    <xf numFmtId="10" fontId="61" fillId="0" borderId="1" xfId="2" applyNumberFormat="1" applyFont="1" applyFill="1" applyBorder="1" applyAlignment="1">
      <alignment horizontal="center" vertical="center"/>
    </xf>
    <xf numFmtId="0" fontId="55" fillId="3" borderId="33" xfId="8" applyFont="1" applyFill="1" applyBorder="1" applyAlignment="1">
      <alignment horizontal="center"/>
    </xf>
    <xf numFmtId="0" fontId="55" fillId="3" borderId="38" xfId="8" applyFont="1" applyFill="1" applyBorder="1" applyAlignment="1">
      <alignment horizontal="center"/>
    </xf>
    <xf numFmtId="0" fontId="41" fillId="0" borderId="0" xfId="0" applyFont="1" applyAlignment="1">
      <alignment horizontal="center" vertical="center"/>
    </xf>
    <xf numFmtId="0" fontId="41" fillId="0" borderId="39" xfId="0" applyFont="1" applyBorder="1" applyAlignment="1">
      <alignment horizontal="center" vertical="center"/>
    </xf>
    <xf numFmtId="10" fontId="31" fillId="7" borderId="40" xfId="1" applyNumberFormat="1" applyFont="1" applyFill="1" applyBorder="1" applyAlignment="1">
      <alignment horizontal="center" vertical="center" wrapText="1"/>
    </xf>
    <xf numFmtId="10" fontId="31" fillId="7" borderId="41" xfId="1" applyNumberFormat="1" applyFont="1" applyFill="1" applyBorder="1" applyAlignment="1">
      <alignment horizontal="center" vertical="center" wrapText="1"/>
    </xf>
    <xf numFmtId="10" fontId="31" fillId="7" borderId="42" xfId="1" applyNumberFormat="1" applyFont="1" applyFill="1" applyBorder="1" applyAlignment="1">
      <alignment horizontal="center" vertical="center" wrapText="1"/>
    </xf>
    <xf numFmtId="0" fontId="31" fillId="12" borderId="43" xfId="8" applyFont="1" applyFill="1" applyBorder="1" applyAlignment="1">
      <alignment horizontal="center"/>
    </xf>
    <xf numFmtId="0" fontId="31" fillId="12" borderId="38" xfId="8" applyFont="1" applyFill="1" applyBorder="1" applyAlignment="1">
      <alignment horizontal="center"/>
    </xf>
    <xf numFmtId="0" fontId="32" fillId="5" borderId="38" xfId="8" applyFont="1" applyFill="1" applyBorder="1" applyAlignment="1">
      <alignment horizontal="center"/>
    </xf>
    <xf numFmtId="0" fontId="31" fillId="7" borderId="40" xfId="5" applyFont="1" applyFill="1" applyBorder="1" applyAlignment="1">
      <alignment horizontal="center" vertical="center" wrapText="1"/>
    </xf>
    <xf numFmtId="0" fontId="31" fillId="7" borderId="41" xfId="5" applyFont="1" applyFill="1" applyBorder="1" applyAlignment="1">
      <alignment horizontal="center" vertical="center" wrapText="1"/>
    </xf>
    <xf numFmtId="0" fontId="31" fillId="7" borderId="42" xfId="5" applyFont="1" applyFill="1" applyBorder="1" applyAlignment="1">
      <alignment horizontal="center" vertical="center" wrapText="1"/>
    </xf>
    <xf numFmtId="0" fontId="30" fillId="4" borderId="44" xfId="8" applyFont="1" applyFill="1" applyBorder="1" applyAlignment="1">
      <alignment horizontal="center" vertical="center" wrapText="1"/>
    </xf>
    <xf numFmtId="0" fontId="30" fillId="4" borderId="45" xfId="8" applyFont="1" applyFill="1" applyBorder="1" applyAlignment="1">
      <alignment horizontal="center" vertical="center" wrapText="1"/>
    </xf>
    <xf numFmtId="0" fontId="30" fillId="4" borderId="46" xfId="8" applyFont="1" applyFill="1" applyBorder="1" applyAlignment="1">
      <alignment horizontal="center" vertical="center" wrapText="1"/>
    </xf>
    <xf numFmtId="10" fontId="31" fillId="7" borderId="47" xfId="2" applyNumberFormat="1" applyFont="1" applyFill="1" applyBorder="1" applyAlignment="1">
      <alignment horizontal="center" vertical="center" wrapText="1"/>
    </xf>
    <xf numFmtId="10" fontId="31" fillId="7" borderId="48" xfId="2" applyNumberFormat="1" applyFont="1" applyFill="1" applyBorder="1" applyAlignment="1">
      <alignment horizontal="center" vertical="center" wrapText="1"/>
    </xf>
    <xf numFmtId="10" fontId="31" fillId="7" borderId="49" xfId="2" applyNumberFormat="1" applyFont="1" applyFill="1" applyBorder="1" applyAlignment="1">
      <alignment horizontal="center" vertical="center" wrapText="1"/>
    </xf>
    <xf numFmtId="0" fontId="31" fillId="9" borderId="40" xfId="5" applyFont="1" applyFill="1" applyBorder="1" applyAlignment="1">
      <alignment horizontal="center" vertical="center" wrapText="1"/>
    </xf>
    <xf numFmtId="0" fontId="31" fillId="9" borderId="41" xfId="5" applyFont="1" applyFill="1" applyBorder="1" applyAlignment="1">
      <alignment horizontal="center" vertical="center" wrapText="1"/>
    </xf>
    <xf numFmtId="0" fontId="31" fillId="9" borderId="42" xfId="5" applyFont="1" applyFill="1" applyBorder="1" applyAlignment="1">
      <alignment horizontal="center" vertical="center" wrapText="1"/>
    </xf>
    <xf numFmtId="9" fontId="31" fillId="7" borderId="40" xfId="1" applyFont="1" applyFill="1" applyBorder="1" applyAlignment="1">
      <alignment horizontal="center" vertical="center" wrapText="1"/>
    </xf>
    <xf numFmtId="9" fontId="31" fillId="7" borderId="41" xfId="1" applyFont="1" applyFill="1" applyBorder="1" applyAlignment="1">
      <alignment horizontal="center" vertical="center" wrapText="1"/>
    </xf>
    <xf numFmtId="9" fontId="31" fillId="7" borderId="42" xfId="1" applyFont="1" applyFill="1" applyBorder="1" applyAlignment="1">
      <alignment horizontal="center" vertical="center" wrapText="1"/>
    </xf>
    <xf numFmtId="177" fontId="31" fillId="8" borderId="50" xfId="5" applyNumberFormat="1" applyFont="1" applyFill="1" applyBorder="1" applyAlignment="1">
      <alignment horizontal="center" vertical="center" wrapText="1"/>
    </xf>
    <xf numFmtId="177" fontId="31" fillId="8" borderId="51" xfId="5" applyNumberFormat="1" applyFont="1" applyFill="1" applyBorder="1" applyAlignment="1">
      <alignment horizontal="center" vertical="center" wrapText="1"/>
    </xf>
    <xf numFmtId="177" fontId="31" fillId="8" borderId="52" xfId="5" applyNumberFormat="1" applyFont="1" applyFill="1" applyBorder="1" applyAlignment="1">
      <alignment horizontal="center" vertical="center" wrapText="1"/>
    </xf>
    <xf numFmtId="0" fontId="31" fillId="8" borderId="40" xfId="5" applyFont="1" applyFill="1" applyBorder="1" applyAlignment="1">
      <alignment horizontal="center" vertical="center" wrapText="1"/>
    </xf>
    <xf numFmtId="0" fontId="31" fillId="8" borderId="41" xfId="5" applyFont="1" applyFill="1" applyBorder="1" applyAlignment="1">
      <alignment horizontal="center" vertical="center" wrapText="1"/>
    </xf>
    <xf numFmtId="0" fontId="31" fillId="8" borderId="42" xfId="5" applyFont="1" applyFill="1" applyBorder="1" applyAlignment="1">
      <alignment horizontal="center" vertical="center" wrapText="1"/>
    </xf>
    <xf numFmtId="0" fontId="52" fillId="0" borderId="1" xfId="9" applyNumberFormat="1" applyFont="1" applyFill="1" applyBorder="1" applyAlignment="1">
      <alignment horizontal="left" vertical="center" wrapText="1"/>
    </xf>
    <xf numFmtId="0" fontId="34" fillId="0" borderId="53" xfId="9" applyFont="1" applyFill="1" applyBorder="1" applyAlignment="1">
      <alignment horizontal="right" vertical="top" wrapText="1"/>
    </xf>
    <xf numFmtId="0" fontId="56" fillId="0" borderId="53" xfId="0" applyFont="1" applyFill="1" applyBorder="1" applyAlignment="1">
      <alignment horizontal="right" vertical="center"/>
    </xf>
    <xf numFmtId="0" fontId="59" fillId="0" borderId="1" xfId="9" applyFont="1" applyFill="1" applyBorder="1" applyAlignment="1">
      <alignment horizontal="left" vertical="center"/>
    </xf>
    <xf numFmtId="0" fontId="61" fillId="0" borderId="1" xfId="9" applyFont="1" applyFill="1" applyBorder="1" applyAlignment="1">
      <alignment horizontal="left" vertical="center"/>
    </xf>
    <xf numFmtId="0" fontId="63" fillId="0" borderId="1" xfId="0" applyFont="1" applyFill="1" applyBorder="1" applyAlignment="1">
      <alignment horizontal="left" vertical="center"/>
    </xf>
  </cellXfs>
  <cellStyles count="10">
    <cellStyle name="百分比" xfId="1" builtinId="5"/>
    <cellStyle name="百分比 2" xfId="2"/>
    <cellStyle name="常规" xfId="0" builtinId="0"/>
    <cellStyle name="常规 2" xfId="3"/>
    <cellStyle name="常规 3" xfId="4"/>
    <cellStyle name="常规 4" xfId="5"/>
    <cellStyle name="常规 4 2" xfId="6"/>
    <cellStyle name="常规 5" xfId="7"/>
    <cellStyle name="常规_30生產部實績管理表" xfId="9"/>
    <cellStyle name="一般_TPS培训教材-原丰田工程师亲讲-TPS-表格设备履历表實例(XLS) 2" xfId="8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tx>
            <c:strRef>
              <c:f>推移图!$A$7</c:f>
              <c:strCache>
                <c:ptCount val="1"/>
                <c:pt idx="0">
                  <c:v>良品率(%)</c:v>
                </c:pt>
              </c:strCache>
            </c:strRef>
          </c:tx>
          <c:dLbls>
            <c:txPr>
              <a:bodyPr/>
              <a:lstStyle/>
              <a:p>
                <a:pPr>
                  <a:defRPr>
                    <a:solidFill>
                      <a:srgbClr val="0070C0"/>
                    </a:solidFill>
                  </a:defRPr>
                </a:pPr>
                <a:endParaRPr lang="zh-CN"/>
              </a:p>
            </c:txPr>
            <c:dLblPos val="t"/>
            <c:showVal val="1"/>
          </c:dLbls>
          <c:cat>
            <c:numRef>
              <c:f>[1]推移图!$C$1:$AG$1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推移图!$C$7:$AG$7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strRef>
              <c:f>推移图!$A$8</c:f>
              <c:strCache>
                <c:ptCount val="1"/>
                <c:pt idx="0">
                  <c:v>性能稼动率(%)</c:v>
                </c:pt>
              </c:strCache>
            </c:strRef>
          </c:tx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zh-CN"/>
              </a:p>
            </c:txPr>
            <c:showVal val="1"/>
          </c:dLbls>
          <c:cat>
            <c:numRef>
              <c:f>[1]推移图!$C$1:$AG$1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推移图!$C$8:$AG$8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2"/>
          <c:order val="2"/>
          <c:tx>
            <c:strRef>
              <c:f>推移图!$A$9</c:f>
              <c:strCache>
                <c:ptCount val="1"/>
                <c:pt idx="0">
                  <c:v>时间稼动率(%)</c:v>
                </c:pt>
              </c:strCache>
            </c:strRef>
          </c:tx>
          <c:dLbls>
            <c:dLbl>
              <c:idx val="4"/>
              <c:layout>
                <c:manualLayout>
                  <c:x val="1.3584649346238785E-3"/>
                  <c:y val="-2.9121164846593838E-2"/>
                </c:manualLayout>
              </c:layout>
              <c:dLblPos val="r"/>
              <c:showVal val="1"/>
            </c:dLbl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zh-CN"/>
              </a:p>
            </c:txPr>
            <c:showVal val="1"/>
          </c:dLbls>
          <c:cat>
            <c:numRef>
              <c:f>[1]推移图!$C$1:$AG$1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推移图!$C$9:$AG$9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3"/>
          <c:order val="3"/>
          <c:tx>
            <c:strRef>
              <c:f>推移图!$A$10</c:f>
              <c:strCache>
                <c:ptCount val="1"/>
                <c:pt idx="0">
                  <c:v>OEE(%)</c:v>
                </c:pt>
              </c:strCache>
            </c:strRef>
          </c:tx>
          <c:dLbls>
            <c:dLbl>
              <c:idx val="16"/>
              <c:layout>
                <c:manualLayout>
                  <c:x val="0"/>
                  <c:y val="-1.8720748829953209E-2"/>
                </c:manualLayout>
              </c:layout>
              <c:dLblPos val="r"/>
              <c:showVal val="1"/>
            </c:dLbl>
            <c:txPr>
              <a:bodyPr/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zh-CN"/>
              </a:p>
            </c:txPr>
            <c:showVal val="1"/>
          </c:dLbls>
          <c:cat>
            <c:numRef>
              <c:f>[1]推移图!$C$1:$AG$1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推移图!$C$10:$AG$10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313716096"/>
        <c:axId val="107435136"/>
      </c:lineChart>
      <c:catAx>
        <c:axId val="313716096"/>
        <c:scaling>
          <c:orientation val="minMax"/>
        </c:scaling>
        <c:axPos val="b"/>
        <c:numFmt formatCode="General" sourceLinked="1"/>
        <c:tickLblPos val="nextTo"/>
        <c:crossAx val="107435136"/>
        <c:crosses val="autoZero"/>
        <c:auto val="1"/>
        <c:lblAlgn val="ctr"/>
        <c:lblOffset val="100"/>
      </c:catAx>
      <c:valAx>
        <c:axId val="107435136"/>
        <c:scaling>
          <c:orientation val="minMax"/>
          <c:max val="1.3"/>
          <c:min val="0"/>
        </c:scaling>
        <c:axPos val="l"/>
        <c:majorGridlines/>
        <c:numFmt formatCode="0.00%" sourceLinked="1"/>
        <c:tickLblPos val="nextTo"/>
        <c:crossAx val="313716096"/>
        <c:crosses val="autoZero"/>
        <c:crossBetween val="between"/>
        <c:majorUnit val="0.1"/>
      </c:valAx>
    </c:plotArea>
    <c:legend>
      <c:legendPos val="r"/>
      <c:layout/>
    </c:legend>
    <c:plotVisOnly val="1"/>
    <c:dispBlanksAs val="gap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0</xdr:row>
      <xdr:rowOff>66675</xdr:rowOff>
    </xdr:from>
    <xdr:to>
      <xdr:col>2</xdr:col>
      <xdr:colOff>0</xdr:colOff>
      <xdr:row>0</xdr:row>
      <xdr:rowOff>314324</xdr:rowOff>
    </xdr:to>
    <xdr:sp macro="" textlink="">
      <xdr:nvSpPr>
        <xdr:cNvPr id="2" name="TextBox 1"/>
        <xdr:cNvSpPr txBox="1"/>
      </xdr:nvSpPr>
      <xdr:spPr>
        <a:xfrm>
          <a:off x="704850" y="66675"/>
          <a:ext cx="828675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zh-CN" altLang="en-US" sz="1200" b="0">
              <a:latin typeface="微软雅黑" pitchFamily="34" charset="-122"/>
              <a:ea typeface="微软雅黑" pitchFamily="34" charset="-122"/>
            </a:rPr>
            <a:t>日期</a:t>
          </a:r>
        </a:p>
      </xdr:txBody>
    </xdr:sp>
    <xdr:clientData/>
  </xdr:twoCellAnchor>
  <xdr:twoCellAnchor>
    <xdr:from>
      <xdr:col>0</xdr:col>
      <xdr:colOff>19050</xdr:colOff>
      <xdr:row>0</xdr:row>
      <xdr:rowOff>457200</xdr:rowOff>
    </xdr:from>
    <xdr:to>
      <xdr:col>1</xdr:col>
      <xdr:colOff>123825</xdr:colOff>
      <xdr:row>0</xdr:row>
      <xdr:rowOff>704849</xdr:rowOff>
    </xdr:to>
    <xdr:sp macro="" textlink="">
      <xdr:nvSpPr>
        <xdr:cNvPr id="3" name="TextBox 2"/>
        <xdr:cNvSpPr txBox="1"/>
      </xdr:nvSpPr>
      <xdr:spPr>
        <a:xfrm>
          <a:off x="19050" y="457200"/>
          <a:ext cx="714375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zh-CN" altLang="en-US" sz="1200" b="0">
              <a:latin typeface="微软雅黑" pitchFamily="34" charset="-122"/>
              <a:ea typeface="微软雅黑" pitchFamily="34" charset="-122"/>
            </a:rPr>
            <a:t>项目</a:t>
          </a:r>
        </a:p>
      </xdr:txBody>
    </xdr:sp>
    <xdr:clientData/>
  </xdr:twoCellAnchor>
  <xdr:twoCellAnchor>
    <xdr:from>
      <xdr:col>1</xdr:col>
      <xdr:colOff>180975</xdr:colOff>
      <xdr:row>11</xdr:row>
      <xdr:rowOff>123825</xdr:rowOff>
    </xdr:from>
    <xdr:to>
      <xdr:col>32</xdr:col>
      <xdr:colOff>523875</xdr:colOff>
      <xdr:row>49</xdr:row>
      <xdr:rowOff>76200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31106868hb/Downloads/&#35774;&#22791;&#24635;&#21512;&#25928;&#29575;&#31649;&#29702;&#34920;&#22686;&#21152;&#25512;&#31227;&#2227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EE总综合效率表"/>
      <sheetName val="推移图"/>
    </sheetNames>
    <sheetDataSet>
      <sheetData sheetId="0"/>
      <sheetData sheetId="1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  <cell r="V1">
            <v>20</v>
          </cell>
          <cell r="W1">
            <v>21</v>
          </cell>
          <cell r="X1">
            <v>22</v>
          </cell>
          <cell r="Y1">
            <v>23</v>
          </cell>
          <cell r="Z1">
            <v>24</v>
          </cell>
          <cell r="AA1">
            <v>25</v>
          </cell>
          <cell r="AB1">
            <v>26</v>
          </cell>
          <cell r="AC1">
            <v>27</v>
          </cell>
          <cell r="AD1">
            <v>28</v>
          </cell>
          <cell r="AE1">
            <v>29</v>
          </cell>
          <cell r="AF1">
            <v>30</v>
          </cell>
          <cell r="AG1">
            <v>31</v>
          </cell>
        </row>
        <row r="7">
          <cell r="A7" t="str">
            <v>良品率(%)</v>
          </cell>
          <cell r="C7">
            <v>1</v>
          </cell>
          <cell r="D7">
            <v>1</v>
          </cell>
          <cell r="E7">
            <v>1</v>
          </cell>
          <cell r="F7">
            <v>0.83333333333333337</v>
          </cell>
          <cell r="G7">
            <v>0.5</v>
          </cell>
          <cell r="H7">
            <v>0.8571428571428571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0.75</v>
          </cell>
          <cell r="N7">
            <v>0.75</v>
          </cell>
          <cell r="O7">
            <v>0.5714285714285714</v>
          </cell>
          <cell r="P7">
            <v>0.875</v>
          </cell>
          <cell r="Q7">
            <v>0.88888888888888884</v>
          </cell>
          <cell r="R7">
            <v>1</v>
          </cell>
          <cell r="S7">
            <v>1</v>
          </cell>
          <cell r="T7">
            <v>1</v>
          </cell>
          <cell r="U7">
            <v>0.875</v>
          </cell>
          <cell r="V7">
            <v>1</v>
          </cell>
          <cell r="W7">
            <v>1</v>
          </cell>
          <cell r="X7">
            <v>0.8</v>
          </cell>
          <cell r="Y7">
            <v>0.83333333333333337</v>
          </cell>
          <cell r="Z7">
            <v>0.75</v>
          </cell>
          <cell r="AA7">
            <v>0.875</v>
          </cell>
          <cell r="AB7">
            <v>1</v>
          </cell>
          <cell r="AC7" t="str">
            <v>0%</v>
          </cell>
          <cell r="AD7" t="str">
            <v>0%</v>
          </cell>
          <cell r="AE7" t="str">
            <v>0%</v>
          </cell>
          <cell r="AF7" t="str">
            <v>0%</v>
          </cell>
          <cell r="AG7" t="str">
            <v>0%</v>
          </cell>
        </row>
        <row r="8">
          <cell r="A8" t="str">
            <v>性能稼动率(%)</v>
          </cell>
          <cell r="C8">
            <v>0.9505494505494505</v>
          </cell>
          <cell r="D8">
            <v>0.89157127991675333</v>
          </cell>
          <cell r="E8">
            <v>1.051898734177215</v>
          </cell>
          <cell r="F8">
            <v>1.046379853095488</v>
          </cell>
          <cell r="G8">
            <v>1.0027149321266968</v>
          </cell>
          <cell r="H8">
            <v>1.1143656716417909</v>
          </cell>
          <cell r="I8">
            <v>0.94233687405159328</v>
          </cell>
          <cell r="J8">
            <v>0.90934018851756648</v>
          </cell>
          <cell r="K8">
            <v>0.96686094920899257</v>
          </cell>
          <cell r="L8">
            <v>1.1257370517928287</v>
          </cell>
          <cell r="M8">
            <v>0.65428253615127929</v>
          </cell>
          <cell r="N8">
            <v>0.94601175482787581</v>
          </cell>
          <cell r="O8">
            <v>0.9088924818108326</v>
          </cell>
          <cell r="P8">
            <v>0.98519736842105265</v>
          </cell>
          <cell r="Q8">
            <v>0.99386602098466514</v>
          </cell>
          <cell r="R8">
            <v>1.0564426877470356</v>
          </cell>
          <cell r="S8">
            <v>1.0832129963898918</v>
          </cell>
          <cell r="T8">
            <v>1.0487101669195751</v>
          </cell>
          <cell r="U8">
            <v>1.2843966179861646</v>
          </cell>
          <cell r="V8">
            <v>0.92335025380710667</v>
          </cell>
          <cell r="W8">
            <v>0.99028436018957344</v>
          </cell>
          <cell r="X8">
            <v>0.80622676579925645</v>
          </cell>
          <cell r="Y8">
            <v>0.8762402088772846</v>
          </cell>
          <cell r="Z8">
            <v>0.90220197418375103</v>
          </cell>
          <cell r="AA8">
            <v>0.89571639586410634</v>
          </cell>
          <cell r="AB8">
            <v>0.88580968280467454</v>
          </cell>
          <cell r="AC8" t="str">
            <v>0%</v>
          </cell>
          <cell r="AD8" t="str">
            <v>0%</v>
          </cell>
          <cell r="AE8" t="str">
            <v>0%</v>
          </cell>
          <cell r="AF8" t="str">
            <v>0%</v>
          </cell>
          <cell r="AG8" t="str">
            <v>0%</v>
          </cell>
        </row>
        <row r="9">
          <cell r="A9" t="str">
            <v>时间稼动率(%)</v>
          </cell>
          <cell r="C9">
            <v>0.7583333333333333</v>
          </cell>
          <cell r="D9">
            <v>0.66736111111111107</v>
          </cell>
          <cell r="E9">
            <v>0.87777777777777777</v>
          </cell>
          <cell r="F9">
            <v>0.68659942363112392</v>
          </cell>
          <cell r="G9">
            <v>0.53946297803091947</v>
          </cell>
          <cell r="H9">
            <v>0.74444444444444446</v>
          </cell>
          <cell r="I9">
            <v>0.91527777777777775</v>
          </cell>
          <cell r="J9">
            <v>0.81041666666666667</v>
          </cell>
          <cell r="K9">
            <v>0.83402777777777781</v>
          </cell>
          <cell r="L9">
            <v>0.87152777777777779</v>
          </cell>
          <cell r="M9">
            <v>0.62430555555555556</v>
          </cell>
          <cell r="N9">
            <v>0.82708333333333328</v>
          </cell>
          <cell r="O9">
            <v>0.85902777777777772</v>
          </cell>
          <cell r="P9">
            <v>0.84444444444444444</v>
          </cell>
          <cell r="Q9">
            <v>0.86041666666666672</v>
          </cell>
          <cell r="R9">
            <v>0.87847222222222221</v>
          </cell>
          <cell r="S9">
            <v>0.76944444444444449</v>
          </cell>
          <cell r="T9">
            <v>0.91527777777777775</v>
          </cell>
          <cell r="U9">
            <v>0.90347222222222223</v>
          </cell>
          <cell r="V9">
            <v>0.8208333333333333</v>
          </cell>
          <cell r="W9">
            <v>0.58611111111111114</v>
          </cell>
          <cell r="X9">
            <v>0.74722222222222223</v>
          </cell>
          <cell r="Y9">
            <v>0.79791666666666672</v>
          </cell>
          <cell r="Z9">
            <v>0.9145833333333333</v>
          </cell>
          <cell r="AA9">
            <v>0.94027777777777777</v>
          </cell>
          <cell r="AB9">
            <v>0.83194444444444449</v>
          </cell>
          <cell r="AC9" t="str">
            <v>0%</v>
          </cell>
          <cell r="AD9" t="str">
            <v>0%</v>
          </cell>
          <cell r="AE9" t="str">
            <v>0%</v>
          </cell>
          <cell r="AF9" t="str">
            <v>0%</v>
          </cell>
          <cell r="AG9" t="str">
            <v>0%</v>
          </cell>
        </row>
        <row r="10">
          <cell r="A10" t="str">
            <v>OEE(%)</v>
          </cell>
          <cell r="C10">
            <v>0.72083333333333321</v>
          </cell>
          <cell r="D10">
            <v>0.59499999999999997</v>
          </cell>
          <cell r="E10">
            <v>0.92333333333333323</v>
          </cell>
          <cell r="F10">
            <v>0.59870317002881845</v>
          </cell>
          <cell r="G10">
            <v>0.27046379170056956</v>
          </cell>
          <cell r="H10">
            <v>0.71107142857142847</v>
          </cell>
          <cell r="I10">
            <v>0.86249999999999993</v>
          </cell>
          <cell r="J10">
            <v>0.73694444444444451</v>
          </cell>
          <cell r="K10">
            <v>0.80638888888888893</v>
          </cell>
          <cell r="L10">
            <v>0.98111111111111116</v>
          </cell>
          <cell r="M10">
            <v>0.30635416666666671</v>
          </cell>
          <cell r="N10">
            <v>0.58682291666666675</v>
          </cell>
          <cell r="O10">
            <v>0.44615079365079358</v>
          </cell>
          <cell r="P10">
            <v>0.72795138888888888</v>
          </cell>
          <cell r="Q10">
            <v>0.7601234567901235</v>
          </cell>
          <cell r="R10">
            <v>0.92805555555555563</v>
          </cell>
          <cell r="S10">
            <v>0.83347222222222228</v>
          </cell>
          <cell r="T10">
            <v>0.95986111111111105</v>
          </cell>
          <cell r="U10">
            <v>1.0153645833333333</v>
          </cell>
          <cell r="V10">
            <v>0.75791666666666668</v>
          </cell>
          <cell r="W10">
            <v>0.58041666666666669</v>
          </cell>
          <cell r="X10">
            <v>0.48194444444444445</v>
          </cell>
          <cell r="Y10">
            <v>0.58263888888888893</v>
          </cell>
          <cell r="Z10">
            <v>0.61885416666666671</v>
          </cell>
          <cell r="AA10">
            <v>0.7369444444444444</v>
          </cell>
          <cell r="AB10">
            <v>0.73694444444444451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V41"/>
  <sheetViews>
    <sheetView showGridLines="0" zoomScale="55" zoomScaleNormal="55" zoomScaleSheetLayoutView="5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J8" sqref="AJ8"/>
    </sheetView>
  </sheetViews>
  <sheetFormatPr defaultColWidth="11.28515625" defaultRowHeight="17.25"/>
  <cols>
    <col min="1" max="1" width="10.5703125" style="3" customWidth="1"/>
    <col min="2" max="2" width="10.7109375" style="3" customWidth="1"/>
    <col min="3" max="3" width="10.7109375" style="6" customWidth="1"/>
    <col min="4" max="7" width="10.7109375" style="7" customWidth="1"/>
    <col min="8" max="8" width="10.7109375" style="33" customWidth="1"/>
    <col min="9" max="10" width="11.85546875" style="33" customWidth="1"/>
    <col min="11" max="11" width="7.42578125" style="33" customWidth="1"/>
    <col min="12" max="27" width="7.28515625" style="3" customWidth="1"/>
    <col min="28" max="28" width="11" style="3" customWidth="1"/>
    <col min="29" max="29" width="9.140625" style="3" customWidth="1"/>
    <col min="30" max="30" width="9.42578125" style="3" customWidth="1"/>
    <col min="31" max="31" width="9.28515625" style="3" customWidth="1"/>
    <col min="32" max="32" width="8.28515625" style="3" customWidth="1"/>
    <col min="33" max="33" width="9.42578125" style="3" customWidth="1"/>
    <col min="34" max="37" width="11.5703125" style="3" customWidth="1"/>
    <col min="38" max="38" width="12.7109375" style="3" customWidth="1"/>
    <col min="39" max="39" width="14.85546875" style="3" customWidth="1"/>
    <col min="40" max="40" width="15" style="3" customWidth="1"/>
    <col min="41" max="41" width="15.140625" style="3" customWidth="1"/>
    <col min="42" max="42" width="12.7109375" style="3" customWidth="1"/>
    <col min="43" max="44" width="12.28515625" style="3" customWidth="1"/>
    <col min="45" max="45" width="13.7109375" style="3" customWidth="1"/>
    <col min="46" max="46" width="10.42578125" style="3" customWidth="1"/>
    <col min="47" max="47" width="10.5703125" style="3" customWidth="1"/>
    <col min="48" max="48" width="31.5703125" style="3" customWidth="1"/>
    <col min="49" max="16384" width="11.28515625" style="3"/>
  </cols>
  <sheetData>
    <row r="1" spans="1:48" ht="20.25">
      <c r="A1" s="142" t="s">
        <v>79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" t="s">
        <v>4</v>
      </c>
      <c r="AT1" s="1" t="s">
        <v>5</v>
      </c>
      <c r="AU1" s="2" t="s">
        <v>6</v>
      </c>
    </row>
    <row r="2" spans="1:48" ht="21" thickBo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4"/>
      <c r="AT2" s="4"/>
      <c r="AU2" s="5"/>
    </row>
    <row r="3" spans="1:48" ht="21.75" thickBot="1">
      <c r="A3" s="153" t="s">
        <v>59</v>
      </c>
      <c r="B3" s="147" t="s">
        <v>7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9" t="s">
        <v>94</v>
      </c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18"/>
    </row>
    <row r="4" spans="1:48" s="31" customFormat="1" ht="21.75" thickBot="1">
      <c r="A4" s="154"/>
      <c r="B4" s="27" t="s">
        <v>42</v>
      </c>
      <c r="C4" s="28" t="s">
        <v>0</v>
      </c>
      <c r="D4" s="29" t="s">
        <v>1</v>
      </c>
      <c r="E4" s="29" t="s">
        <v>2</v>
      </c>
      <c r="F4" s="30" t="s">
        <v>3</v>
      </c>
      <c r="G4" s="30" t="s">
        <v>67</v>
      </c>
      <c r="H4" s="80" t="s">
        <v>65</v>
      </c>
      <c r="I4" s="97" t="s">
        <v>68</v>
      </c>
      <c r="J4" s="98"/>
      <c r="K4" s="140" t="s">
        <v>92</v>
      </c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07"/>
      <c r="AA4" s="107"/>
      <c r="AB4" s="52" t="s">
        <v>43</v>
      </c>
      <c r="AC4" s="83" t="s">
        <v>44</v>
      </c>
      <c r="AD4" s="49" t="s">
        <v>45</v>
      </c>
      <c r="AE4" s="83" t="s">
        <v>66</v>
      </c>
      <c r="AF4" s="86" t="s">
        <v>69</v>
      </c>
      <c r="AG4" s="87" t="s">
        <v>63</v>
      </c>
      <c r="AH4" s="58" t="s">
        <v>46</v>
      </c>
      <c r="AI4" s="59" t="s">
        <v>47</v>
      </c>
      <c r="AJ4" s="60" t="s">
        <v>48</v>
      </c>
      <c r="AK4" s="60" t="s">
        <v>49</v>
      </c>
      <c r="AL4" s="60" t="s">
        <v>50</v>
      </c>
      <c r="AM4" s="60" t="s">
        <v>51</v>
      </c>
      <c r="AN4" s="60" t="s">
        <v>52</v>
      </c>
      <c r="AO4" s="59" t="s">
        <v>53</v>
      </c>
      <c r="AP4" s="60" t="s">
        <v>54</v>
      </c>
      <c r="AQ4" s="95" t="s">
        <v>55</v>
      </c>
      <c r="AR4" s="95" t="s">
        <v>56</v>
      </c>
      <c r="AS4" s="91" t="s">
        <v>86</v>
      </c>
      <c r="AT4" s="94" t="s">
        <v>87</v>
      </c>
      <c r="AU4" s="114" t="s">
        <v>57</v>
      </c>
      <c r="AV4" s="119"/>
    </row>
    <row r="5" spans="1:48" ht="72">
      <c r="A5" s="154"/>
      <c r="B5" s="16" t="s">
        <v>34</v>
      </c>
      <c r="C5" s="17" t="s">
        <v>35</v>
      </c>
      <c r="D5" s="18" t="s">
        <v>36</v>
      </c>
      <c r="E5" s="18" t="s">
        <v>37</v>
      </c>
      <c r="F5" s="19" t="s">
        <v>38</v>
      </c>
      <c r="G5" s="20" t="s">
        <v>40</v>
      </c>
      <c r="H5" s="81" t="s">
        <v>39</v>
      </c>
      <c r="I5" s="101" t="s">
        <v>100</v>
      </c>
      <c r="J5" s="99" t="s">
        <v>98</v>
      </c>
      <c r="K5" s="112" t="s">
        <v>97</v>
      </c>
      <c r="L5" s="53" t="s">
        <v>25</v>
      </c>
      <c r="M5" s="53" t="s">
        <v>8</v>
      </c>
      <c r="N5" s="53" t="s">
        <v>11</v>
      </c>
      <c r="O5" s="53" t="s">
        <v>26</v>
      </c>
      <c r="P5" s="54" t="s">
        <v>14</v>
      </c>
      <c r="Q5" s="54" t="s">
        <v>9</v>
      </c>
      <c r="R5" s="53" t="s">
        <v>10</v>
      </c>
      <c r="S5" s="53" t="s">
        <v>13</v>
      </c>
      <c r="T5" s="53" t="s">
        <v>27</v>
      </c>
      <c r="U5" s="54" t="s">
        <v>28</v>
      </c>
      <c r="V5" s="53" t="s">
        <v>29</v>
      </c>
      <c r="W5" s="54" t="s">
        <v>12</v>
      </c>
      <c r="X5" s="54" t="s">
        <v>64</v>
      </c>
      <c r="Y5" s="55" t="s">
        <v>58</v>
      </c>
      <c r="Z5" s="108" t="s">
        <v>101</v>
      </c>
      <c r="AA5" s="127" t="s">
        <v>103</v>
      </c>
      <c r="AB5" s="106" t="s">
        <v>80</v>
      </c>
      <c r="AC5" s="84" t="s">
        <v>75</v>
      </c>
      <c r="AD5" s="50" t="s">
        <v>93</v>
      </c>
      <c r="AE5" s="84" t="s">
        <v>76</v>
      </c>
      <c r="AF5" s="88" t="s">
        <v>77</v>
      </c>
      <c r="AG5" s="89" t="s">
        <v>78</v>
      </c>
      <c r="AH5" s="61" t="s">
        <v>15</v>
      </c>
      <c r="AI5" s="62" t="s">
        <v>16</v>
      </c>
      <c r="AJ5" s="62" t="s">
        <v>17</v>
      </c>
      <c r="AK5" s="63" t="s">
        <v>31</v>
      </c>
      <c r="AL5" s="64" t="s">
        <v>30</v>
      </c>
      <c r="AM5" s="65" t="s">
        <v>33</v>
      </c>
      <c r="AN5" s="64" t="s">
        <v>96</v>
      </c>
      <c r="AO5" s="64" t="s">
        <v>95</v>
      </c>
      <c r="AP5" s="66" t="s">
        <v>32</v>
      </c>
      <c r="AQ5" s="95" t="s">
        <v>88</v>
      </c>
      <c r="AR5" s="95" t="s">
        <v>81</v>
      </c>
      <c r="AS5" s="92" t="s">
        <v>89</v>
      </c>
      <c r="AT5" s="92" t="s">
        <v>90</v>
      </c>
      <c r="AU5" s="115" t="s">
        <v>91</v>
      </c>
      <c r="AV5" s="123" t="s">
        <v>102</v>
      </c>
    </row>
    <row r="6" spans="1:48" s="26" customFormat="1" ht="21" thickBot="1">
      <c r="A6" s="155"/>
      <c r="B6" s="21" t="s">
        <v>18</v>
      </c>
      <c r="C6" s="22" t="s">
        <v>19</v>
      </c>
      <c r="D6" s="23" t="s">
        <v>19</v>
      </c>
      <c r="E6" s="24" t="s">
        <v>18</v>
      </c>
      <c r="F6" s="25" t="s">
        <v>19</v>
      </c>
      <c r="G6" s="25" t="s">
        <v>19</v>
      </c>
      <c r="H6" s="82" t="s">
        <v>18</v>
      </c>
      <c r="I6" s="102" t="s">
        <v>99</v>
      </c>
      <c r="J6" s="100" t="s">
        <v>18</v>
      </c>
      <c r="K6" s="51" t="s">
        <v>18</v>
      </c>
      <c r="L6" s="51" t="s">
        <v>18</v>
      </c>
      <c r="M6" s="56" t="s">
        <v>18</v>
      </c>
      <c r="N6" s="56" t="s">
        <v>18</v>
      </c>
      <c r="O6" s="56" t="s">
        <v>18</v>
      </c>
      <c r="P6" s="51" t="s">
        <v>18</v>
      </c>
      <c r="Q6" s="51" t="s">
        <v>18</v>
      </c>
      <c r="R6" s="56" t="s">
        <v>18</v>
      </c>
      <c r="S6" s="56" t="s">
        <v>18</v>
      </c>
      <c r="T6" s="56" t="s">
        <v>18</v>
      </c>
      <c r="U6" s="51" t="s">
        <v>18</v>
      </c>
      <c r="V6" s="51" t="s">
        <v>18</v>
      </c>
      <c r="W6" s="51" t="s">
        <v>18</v>
      </c>
      <c r="X6" s="51" t="s">
        <v>18</v>
      </c>
      <c r="Y6" s="57" t="s">
        <v>18</v>
      </c>
      <c r="Z6" s="111" t="s">
        <v>99</v>
      </c>
      <c r="AA6" s="128" t="s">
        <v>104</v>
      </c>
      <c r="AB6" s="109" t="s">
        <v>18</v>
      </c>
      <c r="AC6" s="85" t="s">
        <v>18</v>
      </c>
      <c r="AD6" s="51" t="s">
        <v>20</v>
      </c>
      <c r="AE6" s="85" t="s">
        <v>20</v>
      </c>
      <c r="AF6" s="85" t="s">
        <v>18</v>
      </c>
      <c r="AG6" s="90" t="s">
        <v>20</v>
      </c>
      <c r="AH6" s="67" t="s">
        <v>70</v>
      </c>
      <c r="AI6" s="68" t="s">
        <v>71</v>
      </c>
      <c r="AJ6" s="68" t="s">
        <v>85</v>
      </c>
      <c r="AK6" s="68" t="s">
        <v>41</v>
      </c>
      <c r="AL6" s="69" t="s">
        <v>21</v>
      </c>
      <c r="AM6" s="69" t="s">
        <v>72</v>
      </c>
      <c r="AN6" s="69" t="s">
        <v>22</v>
      </c>
      <c r="AO6" s="69" t="s">
        <v>23</v>
      </c>
      <c r="AP6" s="70" t="s">
        <v>24</v>
      </c>
      <c r="AQ6" s="96" t="s">
        <v>82</v>
      </c>
      <c r="AR6" s="96" t="s">
        <v>83</v>
      </c>
      <c r="AS6" s="93" t="s">
        <v>73</v>
      </c>
      <c r="AT6" s="93" t="s">
        <v>84</v>
      </c>
      <c r="AU6" s="116" t="s">
        <v>74</v>
      </c>
      <c r="AV6" s="120"/>
    </row>
    <row r="7" spans="1:48" ht="21">
      <c r="A7" s="46">
        <v>1</v>
      </c>
      <c r="B7" s="32"/>
      <c r="C7" s="32"/>
      <c r="D7" s="32"/>
      <c r="E7" s="32"/>
      <c r="F7" s="32"/>
      <c r="G7" s="32"/>
      <c r="H7" s="48"/>
      <c r="I7" s="48"/>
      <c r="J7" s="48"/>
      <c r="K7" s="113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10"/>
      <c r="AA7" s="129">
        <f>IF(D7=0,0,SUM(K7:Z7))</f>
        <v>0</v>
      </c>
      <c r="AB7" s="32"/>
      <c r="AC7" s="32"/>
      <c r="AD7" s="32"/>
      <c r="AE7" s="32"/>
      <c r="AF7" s="32"/>
      <c r="AG7" s="40"/>
      <c r="AH7" s="39" t="e">
        <f>IF(H7=1440,"0%",(B7-H7)/B7)</f>
        <v>#DIV/0!</v>
      </c>
      <c r="AI7" s="126">
        <f>IF(D7=0,0,B7-I7)</f>
        <v>0</v>
      </c>
      <c r="AJ7" s="126">
        <f>AI7-AA7-AB7</f>
        <v>0</v>
      </c>
      <c r="AK7" s="8">
        <f>D7-F7</f>
        <v>0</v>
      </c>
      <c r="AL7" s="9" t="str">
        <f t="shared" ref="AL7:AL40" si="0">IF(D7=0,"0%",AK7/D7)</f>
        <v>0%</v>
      </c>
      <c r="AM7" s="10" t="str">
        <f t="shared" ref="AM7:AM40" si="1">IF(AI7=0,"0%",(AI7-AB7)/AI7)</f>
        <v>0%</v>
      </c>
      <c r="AN7" s="9" t="str">
        <f t="shared" ref="AN7:AN40" si="2">IF(AI7=0,"0%",E7/AJ7)</f>
        <v>0%</v>
      </c>
      <c r="AO7" s="9" t="str">
        <f>IF(AI7=0,"0%",AJ7/AI7)</f>
        <v>0%</v>
      </c>
      <c r="AP7" s="11">
        <f>AL7*AN7*AO7</f>
        <v>0</v>
      </c>
      <c r="AQ7" s="8" t="str">
        <f t="shared" ref="AQ7:AQ38" si="3">IF(AD7=0,"-",AI7/AD7)</f>
        <v>-</v>
      </c>
      <c r="AR7" s="12" t="str">
        <f>IF(AD7=0,"-",AB7/AD7)</f>
        <v>-</v>
      </c>
      <c r="AS7" s="12" t="str">
        <f t="shared" ref="AS7:AS40" si="4">IF(AE7=0,"-",AI7/AE7)</f>
        <v>-</v>
      </c>
      <c r="AT7" s="13" t="str">
        <f>IF(AE7=0,"-",AC7/AE7)</f>
        <v>-</v>
      </c>
      <c r="AU7" s="117" t="str">
        <f>IF(AG7=0,"-",AF7/AG7)</f>
        <v>-</v>
      </c>
      <c r="AV7" s="118"/>
    </row>
    <row r="8" spans="1:48" ht="21">
      <c r="A8" s="46">
        <v>2</v>
      </c>
      <c r="B8" s="32"/>
      <c r="C8" s="32"/>
      <c r="D8" s="32"/>
      <c r="E8" s="32"/>
      <c r="F8" s="32"/>
      <c r="G8" s="32"/>
      <c r="H8" s="48"/>
      <c r="I8" s="48"/>
      <c r="J8" s="48"/>
      <c r="K8" s="113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29">
        <f>IF(D8=0,0,SUM(K8:Z8))</f>
        <v>0</v>
      </c>
      <c r="AB8" s="32"/>
      <c r="AC8" s="32"/>
      <c r="AD8" s="32"/>
      <c r="AE8" s="32"/>
      <c r="AF8" s="32"/>
      <c r="AG8" s="40"/>
      <c r="AH8" s="39" t="e">
        <f t="shared" ref="AH8:AH40" si="5">IF(H8=1440,"0%",(B8-H8)/B8)</f>
        <v>#DIV/0!</v>
      </c>
      <c r="AI8" s="126">
        <f t="shared" ref="AI8:AI37" si="6">IF(D8=0,0,B8-I8)</f>
        <v>0</v>
      </c>
      <c r="AJ8" s="126">
        <f t="shared" ref="AJ8:AJ37" si="7">AI8-AA8-AB8</f>
        <v>0</v>
      </c>
      <c r="AK8" s="8">
        <f t="shared" ref="AK8:AK37" si="8">D8-F8</f>
        <v>0</v>
      </c>
      <c r="AL8" s="9" t="str">
        <f t="shared" si="0"/>
        <v>0%</v>
      </c>
      <c r="AM8" s="10" t="str">
        <f t="shared" si="1"/>
        <v>0%</v>
      </c>
      <c r="AN8" s="9" t="str">
        <f t="shared" si="2"/>
        <v>0%</v>
      </c>
      <c r="AO8" s="9" t="str">
        <f t="shared" ref="AO8:AO40" si="9">IF(AI8=0,"0%",AJ8/AI8)</f>
        <v>0%</v>
      </c>
      <c r="AP8" s="11">
        <f t="shared" ref="AP8:AP40" si="10">AL8*AN8*AO8</f>
        <v>0</v>
      </c>
      <c r="AQ8" s="8" t="str">
        <f t="shared" si="3"/>
        <v>-</v>
      </c>
      <c r="AR8" s="12" t="str">
        <f t="shared" ref="AR8:AR40" si="11">IF(AD8=0,"-",AB8/AD8)</f>
        <v>-</v>
      </c>
      <c r="AS8" s="12" t="str">
        <f t="shared" si="4"/>
        <v>-</v>
      </c>
      <c r="AT8" s="13" t="str">
        <f t="shared" ref="AT8:AT40" si="12">IF(AE8=0,"-",AC8/AE8)</f>
        <v>-</v>
      </c>
      <c r="AU8" s="117" t="str">
        <f t="shared" ref="AU8:AU40" si="13">IF(AG8=0,"-",AF8/AG8)</f>
        <v>-</v>
      </c>
      <c r="AV8" s="118"/>
    </row>
    <row r="9" spans="1:48" ht="21">
      <c r="A9" s="46">
        <v>3</v>
      </c>
      <c r="B9" s="32"/>
      <c r="C9" s="32"/>
      <c r="D9" s="32"/>
      <c r="E9" s="32"/>
      <c r="F9" s="32"/>
      <c r="G9" s="32"/>
      <c r="H9" s="48"/>
      <c r="I9" s="48"/>
      <c r="J9" s="48"/>
      <c r="K9" s="113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29">
        <f t="shared" ref="AA9:AA37" si="14">IF(D9=0,0,SUM(K9:Z9))</f>
        <v>0</v>
      </c>
      <c r="AB9" s="32"/>
      <c r="AC9" s="32"/>
      <c r="AD9" s="32"/>
      <c r="AE9" s="32"/>
      <c r="AF9" s="32"/>
      <c r="AG9" s="40"/>
      <c r="AH9" s="39" t="e">
        <f>IF(H9=1440,"0%",(B9-H9)/B9)</f>
        <v>#DIV/0!</v>
      </c>
      <c r="AI9" s="126">
        <f t="shared" si="6"/>
        <v>0</v>
      </c>
      <c r="AJ9" s="126">
        <f t="shared" si="7"/>
        <v>0</v>
      </c>
      <c r="AK9" s="8">
        <f t="shared" si="8"/>
        <v>0</v>
      </c>
      <c r="AL9" s="9" t="str">
        <f t="shared" si="0"/>
        <v>0%</v>
      </c>
      <c r="AM9" s="10" t="str">
        <f t="shared" si="1"/>
        <v>0%</v>
      </c>
      <c r="AN9" s="9" t="str">
        <f t="shared" si="2"/>
        <v>0%</v>
      </c>
      <c r="AO9" s="9" t="str">
        <f t="shared" si="9"/>
        <v>0%</v>
      </c>
      <c r="AP9" s="11">
        <f t="shared" si="10"/>
        <v>0</v>
      </c>
      <c r="AQ9" s="8" t="str">
        <f t="shared" si="3"/>
        <v>-</v>
      </c>
      <c r="AR9" s="12" t="str">
        <f t="shared" si="11"/>
        <v>-</v>
      </c>
      <c r="AS9" s="12" t="str">
        <f t="shared" si="4"/>
        <v>-</v>
      </c>
      <c r="AT9" s="13" t="str">
        <f t="shared" si="12"/>
        <v>-</v>
      </c>
      <c r="AU9" s="117" t="str">
        <f t="shared" si="13"/>
        <v>-</v>
      </c>
      <c r="AV9" s="118"/>
    </row>
    <row r="10" spans="1:48" ht="21">
      <c r="A10" s="46">
        <v>4</v>
      </c>
      <c r="B10" s="32"/>
      <c r="C10" s="32"/>
      <c r="D10" s="32"/>
      <c r="E10" s="32"/>
      <c r="F10" s="32"/>
      <c r="G10" s="32"/>
      <c r="H10" s="48"/>
      <c r="I10" s="48"/>
      <c r="J10" s="48"/>
      <c r="K10" s="113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29">
        <f t="shared" si="14"/>
        <v>0</v>
      </c>
      <c r="AB10" s="32"/>
      <c r="AC10" s="32"/>
      <c r="AD10" s="32"/>
      <c r="AE10" s="32"/>
      <c r="AF10" s="32"/>
      <c r="AG10" s="40"/>
      <c r="AH10" s="39" t="e">
        <f t="shared" si="5"/>
        <v>#DIV/0!</v>
      </c>
      <c r="AI10" s="126">
        <f t="shared" si="6"/>
        <v>0</v>
      </c>
      <c r="AJ10" s="126">
        <f t="shared" si="7"/>
        <v>0</v>
      </c>
      <c r="AK10" s="8">
        <f t="shared" si="8"/>
        <v>0</v>
      </c>
      <c r="AL10" s="9" t="str">
        <f t="shared" si="0"/>
        <v>0%</v>
      </c>
      <c r="AM10" s="10" t="str">
        <f t="shared" si="1"/>
        <v>0%</v>
      </c>
      <c r="AN10" s="9" t="str">
        <f t="shared" si="2"/>
        <v>0%</v>
      </c>
      <c r="AO10" s="9" t="str">
        <f t="shared" si="9"/>
        <v>0%</v>
      </c>
      <c r="AP10" s="11">
        <f t="shared" si="10"/>
        <v>0</v>
      </c>
      <c r="AQ10" s="8" t="str">
        <f t="shared" si="3"/>
        <v>-</v>
      </c>
      <c r="AR10" s="12" t="str">
        <f t="shared" si="11"/>
        <v>-</v>
      </c>
      <c r="AS10" s="12" t="str">
        <f t="shared" si="4"/>
        <v>-</v>
      </c>
      <c r="AT10" s="13" t="str">
        <f t="shared" si="12"/>
        <v>-</v>
      </c>
      <c r="AU10" s="117" t="str">
        <f t="shared" si="13"/>
        <v>-</v>
      </c>
      <c r="AV10" s="118"/>
    </row>
    <row r="11" spans="1:48" ht="21">
      <c r="A11" s="46">
        <v>5</v>
      </c>
      <c r="B11" s="32"/>
      <c r="C11" s="32"/>
      <c r="D11" s="32"/>
      <c r="E11" s="32"/>
      <c r="F11" s="32"/>
      <c r="G11" s="32"/>
      <c r="H11" s="48"/>
      <c r="I11" s="48"/>
      <c r="J11" s="48"/>
      <c r="K11" s="113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29">
        <f t="shared" si="14"/>
        <v>0</v>
      </c>
      <c r="AB11" s="32"/>
      <c r="AC11" s="32"/>
      <c r="AD11" s="32"/>
      <c r="AE11" s="32"/>
      <c r="AF11" s="32"/>
      <c r="AG11" s="40"/>
      <c r="AH11" s="39" t="e">
        <f t="shared" si="5"/>
        <v>#DIV/0!</v>
      </c>
      <c r="AI11" s="126">
        <f t="shared" si="6"/>
        <v>0</v>
      </c>
      <c r="AJ11" s="126">
        <f t="shared" si="7"/>
        <v>0</v>
      </c>
      <c r="AK11" s="8">
        <f t="shared" si="8"/>
        <v>0</v>
      </c>
      <c r="AL11" s="9" t="str">
        <f t="shared" si="0"/>
        <v>0%</v>
      </c>
      <c r="AM11" s="10" t="str">
        <f t="shared" si="1"/>
        <v>0%</v>
      </c>
      <c r="AN11" s="9" t="str">
        <f t="shared" si="2"/>
        <v>0%</v>
      </c>
      <c r="AO11" s="9" t="str">
        <f t="shared" si="9"/>
        <v>0%</v>
      </c>
      <c r="AP11" s="11">
        <f t="shared" si="10"/>
        <v>0</v>
      </c>
      <c r="AQ11" s="8" t="str">
        <f t="shared" si="3"/>
        <v>-</v>
      </c>
      <c r="AR11" s="12" t="str">
        <f t="shared" si="11"/>
        <v>-</v>
      </c>
      <c r="AS11" s="12" t="str">
        <f t="shared" si="4"/>
        <v>-</v>
      </c>
      <c r="AT11" s="13" t="str">
        <f t="shared" si="12"/>
        <v>-</v>
      </c>
      <c r="AU11" s="117" t="str">
        <f t="shared" si="13"/>
        <v>-</v>
      </c>
      <c r="AV11" s="118"/>
    </row>
    <row r="12" spans="1:48" ht="21">
      <c r="A12" s="46">
        <v>6</v>
      </c>
      <c r="B12" s="32"/>
      <c r="C12" s="32"/>
      <c r="D12" s="32"/>
      <c r="E12" s="32"/>
      <c r="F12" s="32"/>
      <c r="G12" s="32"/>
      <c r="H12" s="48"/>
      <c r="I12" s="48"/>
      <c r="J12" s="48"/>
      <c r="K12" s="113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29">
        <f t="shared" si="14"/>
        <v>0</v>
      </c>
      <c r="AB12" s="32"/>
      <c r="AC12" s="32"/>
      <c r="AD12" s="32"/>
      <c r="AE12" s="32"/>
      <c r="AF12" s="32"/>
      <c r="AG12" s="40"/>
      <c r="AH12" s="39" t="e">
        <f t="shared" si="5"/>
        <v>#DIV/0!</v>
      </c>
      <c r="AI12" s="126">
        <f t="shared" si="6"/>
        <v>0</v>
      </c>
      <c r="AJ12" s="126">
        <f t="shared" si="7"/>
        <v>0</v>
      </c>
      <c r="AK12" s="8">
        <f t="shared" si="8"/>
        <v>0</v>
      </c>
      <c r="AL12" s="9" t="str">
        <f t="shared" si="0"/>
        <v>0%</v>
      </c>
      <c r="AM12" s="10" t="str">
        <f t="shared" si="1"/>
        <v>0%</v>
      </c>
      <c r="AN12" s="9" t="str">
        <f t="shared" si="2"/>
        <v>0%</v>
      </c>
      <c r="AO12" s="9" t="str">
        <f t="shared" si="9"/>
        <v>0%</v>
      </c>
      <c r="AP12" s="11">
        <f t="shared" si="10"/>
        <v>0</v>
      </c>
      <c r="AQ12" s="8" t="str">
        <f t="shared" si="3"/>
        <v>-</v>
      </c>
      <c r="AR12" s="12" t="str">
        <f t="shared" si="11"/>
        <v>-</v>
      </c>
      <c r="AS12" s="12" t="str">
        <f t="shared" si="4"/>
        <v>-</v>
      </c>
      <c r="AT12" s="13" t="str">
        <f t="shared" si="12"/>
        <v>-</v>
      </c>
      <c r="AU12" s="117" t="str">
        <f t="shared" si="13"/>
        <v>-</v>
      </c>
      <c r="AV12" s="118"/>
    </row>
    <row r="13" spans="1:48" ht="21">
      <c r="A13" s="46">
        <v>7</v>
      </c>
      <c r="B13" s="32"/>
      <c r="C13" s="32"/>
      <c r="D13" s="32"/>
      <c r="E13" s="32"/>
      <c r="F13" s="32"/>
      <c r="G13" s="32"/>
      <c r="H13" s="48"/>
      <c r="I13" s="48"/>
      <c r="J13" s="48"/>
      <c r="K13" s="113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29">
        <f t="shared" si="14"/>
        <v>0</v>
      </c>
      <c r="AB13" s="32"/>
      <c r="AC13" s="32"/>
      <c r="AD13" s="32"/>
      <c r="AE13" s="32"/>
      <c r="AF13" s="32"/>
      <c r="AG13" s="40"/>
      <c r="AH13" s="39" t="e">
        <f t="shared" si="5"/>
        <v>#DIV/0!</v>
      </c>
      <c r="AI13" s="126">
        <f t="shared" si="6"/>
        <v>0</v>
      </c>
      <c r="AJ13" s="126">
        <f t="shared" si="7"/>
        <v>0</v>
      </c>
      <c r="AK13" s="8">
        <f t="shared" si="8"/>
        <v>0</v>
      </c>
      <c r="AL13" s="9" t="str">
        <f t="shared" si="0"/>
        <v>0%</v>
      </c>
      <c r="AM13" s="10" t="str">
        <f t="shared" si="1"/>
        <v>0%</v>
      </c>
      <c r="AN13" s="9" t="str">
        <f t="shared" si="2"/>
        <v>0%</v>
      </c>
      <c r="AO13" s="9" t="str">
        <f t="shared" si="9"/>
        <v>0%</v>
      </c>
      <c r="AP13" s="11">
        <f t="shared" si="10"/>
        <v>0</v>
      </c>
      <c r="AQ13" s="8" t="str">
        <f t="shared" si="3"/>
        <v>-</v>
      </c>
      <c r="AR13" s="12" t="str">
        <f t="shared" si="11"/>
        <v>-</v>
      </c>
      <c r="AS13" s="12" t="str">
        <f t="shared" si="4"/>
        <v>-</v>
      </c>
      <c r="AT13" s="13" t="str">
        <f t="shared" si="12"/>
        <v>-</v>
      </c>
      <c r="AU13" s="117" t="str">
        <f t="shared" si="13"/>
        <v>-</v>
      </c>
      <c r="AV13" s="118"/>
    </row>
    <row r="14" spans="1:48" ht="21">
      <c r="A14" s="46">
        <v>8</v>
      </c>
      <c r="B14" s="32"/>
      <c r="C14" s="32"/>
      <c r="D14" s="32"/>
      <c r="E14" s="32"/>
      <c r="F14" s="32"/>
      <c r="G14" s="32"/>
      <c r="H14" s="48"/>
      <c r="I14" s="48"/>
      <c r="J14" s="48"/>
      <c r="K14" s="113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29">
        <f t="shared" si="14"/>
        <v>0</v>
      </c>
      <c r="AB14" s="32"/>
      <c r="AC14" s="32"/>
      <c r="AD14" s="32"/>
      <c r="AE14" s="32"/>
      <c r="AF14" s="32"/>
      <c r="AG14" s="40"/>
      <c r="AH14" s="39" t="e">
        <f t="shared" si="5"/>
        <v>#DIV/0!</v>
      </c>
      <c r="AI14" s="126">
        <f t="shared" si="6"/>
        <v>0</v>
      </c>
      <c r="AJ14" s="126">
        <f t="shared" si="7"/>
        <v>0</v>
      </c>
      <c r="AK14" s="8">
        <f t="shared" si="8"/>
        <v>0</v>
      </c>
      <c r="AL14" s="9" t="str">
        <f t="shared" si="0"/>
        <v>0%</v>
      </c>
      <c r="AM14" s="10" t="str">
        <f t="shared" si="1"/>
        <v>0%</v>
      </c>
      <c r="AN14" s="9" t="str">
        <f t="shared" si="2"/>
        <v>0%</v>
      </c>
      <c r="AO14" s="9" t="str">
        <f t="shared" si="9"/>
        <v>0%</v>
      </c>
      <c r="AP14" s="11">
        <f t="shared" si="10"/>
        <v>0</v>
      </c>
      <c r="AQ14" s="8" t="str">
        <f t="shared" si="3"/>
        <v>-</v>
      </c>
      <c r="AR14" s="12" t="str">
        <f t="shared" si="11"/>
        <v>-</v>
      </c>
      <c r="AS14" s="12" t="str">
        <f t="shared" si="4"/>
        <v>-</v>
      </c>
      <c r="AT14" s="13" t="str">
        <f t="shared" si="12"/>
        <v>-</v>
      </c>
      <c r="AU14" s="117" t="str">
        <f t="shared" si="13"/>
        <v>-</v>
      </c>
      <c r="AV14" s="118"/>
    </row>
    <row r="15" spans="1:48" ht="21">
      <c r="A15" s="46">
        <v>9</v>
      </c>
      <c r="B15" s="32"/>
      <c r="C15" s="32"/>
      <c r="D15" s="32"/>
      <c r="E15" s="32"/>
      <c r="F15" s="32"/>
      <c r="G15" s="32"/>
      <c r="H15" s="48"/>
      <c r="I15" s="48"/>
      <c r="J15" s="48"/>
      <c r="K15" s="113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29">
        <f t="shared" si="14"/>
        <v>0</v>
      </c>
      <c r="AB15" s="32"/>
      <c r="AC15" s="32"/>
      <c r="AD15" s="32"/>
      <c r="AE15" s="32"/>
      <c r="AF15" s="32"/>
      <c r="AG15" s="40"/>
      <c r="AH15" s="39" t="e">
        <f t="shared" si="5"/>
        <v>#DIV/0!</v>
      </c>
      <c r="AI15" s="126">
        <f t="shared" si="6"/>
        <v>0</v>
      </c>
      <c r="AJ15" s="126">
        <f t="shared" si="7"/>
        <v>0</v>
      </c>
      <c r="AK15" s="8">
        <f t="shared" si="8"/>
        <v>0</v>
      </c>
      <c r="AL15" s="9" t="str">
        <f t="shared" si="0"/>
        <v>0%</v>
      </c>
      <c r="AM15" s="10" t="str">
        <f t="shared" si="1"/>
        <v>0%</v>
      </c>
      <c r="AN15" s="9" t="str">
        <f t="shared" si="2"/>
        <v>0%</v>
      </c>
      <c r="AO15" s="9" t="str">
        <f t="shared" si="9"/>
        <v>0%</v>
      </c>
      <c r="AP15" s="11">
        <f t="shared" si="10"/>
        <v>0</v>
      </c>
      <c r="AQ15" s="8" t="str">
        <f t="shared" si="3"/>
        <v>-</v>
      </c>
      <c r="AR15" s="12" t="str">
        <f t="shared" si="11"/>
        <v>-</v>
      </c>
      <c r="AS15" s="12" t="str">
        <f t="shared" si="4"/>
        <v>-</v>
      </c>
      <c r="AT15" s="13" t="str">
        <f t="shared" si="12"/>
        <v>-</v>
      </c>
      <c r="AU15" s="117" t="str">
        <f t="shared" si="13"/>
        <v>-</v>
      </c>
      <c r="AV15" s="118"/>
    </row>
    <row r="16" spans="1:48" ht="21">
      <c r="A16" s="46">
        <v>10</v>
      </c>
      <c r="B16" s="32"/>
      <c r="C16" s="32"/>
      <c r="D16" s="32"/>
      <c r="E16" s="32"/>
      <c r="F16" s="32"/>
      <c r="G16" s="32"/>
      <c r="H16" s="48"/>
      <c r="I16" s="48"/>
      <c r="J16" s="48"/>
      <c r="K16" s="113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29">
        <f t="shared" si="14"/>
        <v>0</v>
      </c>
      <c r="AB16" s="32"/>
      <c r="AC16" s="32"/>
      <c r="AD16" s="32"/>
      <c r="AE16" s="32"/>
      <c r="AF16" s="32"/>
      <c r="AG16" s="40"/>
      <c r="AH16" s="39" t="e">
        <f t="shared" si="5"/>
        <v>#DIV/0!</v>
      </c>
      <c r="AI16" s="126">
        <f t="shared" si="6"/>
        <v>0</v>
      </c>
      <c r="AJ16" s="126">
        <f t="shared" si="7"/>
        <v>0</v>
      </c>
      <c r="AK16" s="8">
        <f t="shared" si="8"/>
        <v>0</v>
      </c>
      <c r="AL16" s="9" t="str">
        <f t="shared" si="0"/>
        <v>0%</v>
      </c>
      <c r="AM16" s="10" t="str">
        <f t="shared" si="1"/>
        <v>0%</v>
      </c>
      <c r="AN16" s="9" t="str">
        <f t="shared" si="2"/>
        <v>0%</v>
      </c>
      <c r="AO16" s="9" t="str">
        <f t="shared" si="9"/>
        <v>0%</v>
      </c>
      <c r="AP16" s="11">
        <f t="shared" si="10"/>
        <v>0</v>
      </c>
      <c r="AQ16" s="8" t="str">
        <f t="shared" si="3"/>
        <v>-</v>
      </c>
      <c r="AR16" s="12" t="str">
        <f t="shared" si="11"/>
        <v>-</v>
      </c>
      <c r="AS16" s="12" t="str">
        <f t="shared" si="4"/>
        <v>-</v>
      </c>
      <c r="AT16" s="13" t="str">
        <f t="shared" si="12"/>
        <v>-</v>
      </c>
      <c r="AU16" s="117" t="str">
        <f t="shared" si="13"/>
        <v>-</v>
      </c>
      <c r="AV16" s="118"/>
    </row>
    <row r="17" spans="1:48" ht="21">
      <c r="A17" s="46">
        <v>11</v>
      </c>
      <c r="B17" s="32"/>
      <c r="C17" s="32"/>
      <c r="D17" s="32"/>
      <c r="E17" s="32"/>
      <c r="F17" s="32"/>
      <c r="G17" s="32"/>
      <c r="H17" s="48"/>
      <c r="I17" s="48"/>
      <c r="J17" s="48"/>
      <c r="K17" s="113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29">
        <f t="shared" si="14"/>
        <v>0</v>
      </c>
      <c r="AB17" s="32"/>
      <c r="AC17" s="32"/>
      <c r="AD17" s="32"/>
      <c r="AE17" s="32"/>
      <c r="AF17" s="32"/>
      <c r="AG17" s="40"/>
      <c r="AH17" s="39" t="e">
        <f t="shared" si="5"/>
        <v>#DIV/0!</v>
      </c>
      <c r="AI17" s="126">
        <f t="shared" si="6"/>
        <v>0</v>
      </c>
      <c r="AJ17" s="126">
        <f t="shared" si="7"/>
        <v>0</v>
      </c>
      <c r="AK17" s="8">
        <f t="shared" si="8"/>
        <v>0</v>
      </c>
      <c r="AL17" s="9" t="str">
        <f t="shared" si="0"/>
        <v>0%</v>
      </c>
      <c r="AM17" s="10" t="str">
        <f t="shared" si="1"/>
        <v>0%</v>
      </c>
      <c r="AN17" s="9" t="str">
        <f t="shared" si="2"/>
        <v>0%</v>
      </c>
      <c r="AO17" s="9" t="str">
        <f t="shared" si="9"/>
        <v>0%</v>
      </c>
      <c r="AP17" s="11">
        <f t="shared" si="10"/>
        <v>0</v>
      </c>
      <c r="AQ17" s="8" t="str">
        <f t="shared" si="3"/>
        <v>-</v>
      </c>
      <c r="AR17" s="12" t="str">
        <f t="shared" si="11"/>
        <v>-</v>
      </c>
      <c r="AS17" s="12" t="str">
        <f t="shared" si="4"/>
        <v>-</v>
      </c>
      <c r="AT17" s="13" t="str">
        <f t="shared" si="12"/>
        <v>-</v>
      </c>
      <c r="AU17" s="117" t="str">
        <f t="shared" si="13"/>
        <v>-</v>
      </c>
      <c r="AV17" s="118"/>
    </row>
    <row r="18" spans="1:48" ht="21">
      <c r="A18" s="46">
        <v>12</v>
      </c>
      <c r="B18" s="32"/>
      <c r="C18" s="32"/>
      <c r="D18" s="32"/>
      <c r="E18" s="32"/>
      <c r="F18" s="32"/>
      <c r="G18" s="32"/>
      <c r="H18" s="48"/>
      <c r="I18" s="48"/>
      <c r="J18" s="48"/>
      <c r="K18" s="113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29">
        <f t="shared" si="14"/>
        <v>0</v>
      </c>
      <c r="AB18" s="32"/>
      <c r="AC18" s="32"/>
      <c r="AD18" s="32"/>
      <c r="AE18" s="32"/>
      <c r="AF18" s="32"/>
      <c r="AG18" s="40"/>
      <c r="AH18" s="39" t="e">
        <f t="shared" si="5"/>
        <v>#DIV/0!</v>
      </c>
      <c r="AI18" s="126">
        <f t="shared" si="6"/>
        <v>0</v>
      </c>
      <c r="AJ18" s="126">
        <f t="shared" si="7"/>
        <v>0</v>
      </c>
      <c r="AK18" s="8">
        <f t="shared" si="8"/>
        <v>0</v>
      </c>
      <c r="AL18" s="9" t="str">
        <f t="shared" si="0"/>
        <v>0%</v>
      </c>
      <c r="AM18" s="10" t="str">
        <f t="shared" si="1"/>
        <v>0%</v>
      </c>
      <c r="AN18" s="9" t="str">
        <f t="shared" si="2"/>
        <v>0%</v>
      </c>
      <c r="AO18" s="9" t="str">
        <f t="shared" si="9"/>
        <v>0%</v>
      </c>
      <c r="AP18" s="11">
        <f t="shared" si="10"/>
        <v>0</v>
      </c>
      <c r="AQ18" s="8" t="str">
        <f t="shared" si="3"/>
        <v>-</v>
      </c>
      <c r="AR18" s="12" t="str">
        <f t="shared" si="11"/>
        <v>-</v>
      </c>
      <c r="AS18" s="12" t="str">
        <f t="shared" si="4"/>
        <v>-</v>
      </c>
      <c r="AT18" s="13" t="str">
        <f t="shared" si="12"/>
        <v>-</v>
      </c>
      <c r="AU18" s="117" t="str">
        <f t="shared" si="13"/>
        <v>-</v>
      </c>
      <c r="AV18" s="118"/>
    </row>
    <row r="19" spans="1:48" ht="21">
      <c r="A19" s="46">
        <v>13</v>
      </c>
      <c r="B19" s="32"/>
      <c r="C19" s="32"/>
      <c r="D19" s="32"/>
      <c r="E19" s="32"/>
      <c r="F19" s="32"/>
      <c r="G19" s="32"/>
      <c r="H19" s="48"/>
      <c r="I19" s="48"/>
      <c r="J19" s="48"/>
      <c r="K19" s="113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29">
        <f t="shared" si="14"/>
        <v>0</v>
      </c>
      <c r="AB19" s="32"/>
      <c r="AC19" s="32"/>
      <c r="AD19" s="32"/>
      <c r="AE19" s="32"/>
      <c r="AF19" s="32"/>
      <c r="AG19" s="40"/>
      <c r="AH19" s="39" t="e">
        <f t="shared" si="5"/>
        <v>#DIV/0!</v>
      </c>
      <c r="AI19" s="126">
        <f t="shared" si="6"/>
        <v>0</v>
      </c>
      <c r="AJ19" s="126">
        <f t="shared" si="7"/>
        <v>0</v>
      </c>
      <c r="AK19" s="8">
        <f t="shared" si="8"/>
        <v>0</v>
      </c>
      <c r="AL19" s="9" t="str">
        <f t="shared" si="0"/>
        <v>0%</v>
      </c>
      <c r="AM19" s="10" t="str">
        <f t="shared" si="1"/>
        <v>0%</v>
      </c>
      <c r="AN19" s="9" t="str">
        <f t="shared" si="2"/>
        <v>0%</v>
      </c>
      <c r="AO19" s="9" t="str">
        <f t="shared" si="9"/>
        <v>0%</v>
      </c>
      <c r="AP19" s="11">
        <f t="shared" si="10"/>
        <v>0</v>
      </c>
      <c r="AQ19" s="8" t="str">
        <f t="shared" si="3"/>
        <v>-</v>
      </c>
      <c r="AR19" s="12" t="str">
        <f t="shared" si="11"/>
        <v>-</v>
      </c>
      <c r="AS19" s="12" t="str">
        <f t="shared" si="4"/>
        <v>-</v>
      </c>
      <c r="AT19" s="13" t="str">
        <f t="shared" si="12"/>
        <v>-</v>
      </c>
      <c r="AU19" s="117" t="str">
        <f t="shared" si="13"/>
        <v>-</v>
      </c>
      <c r="AV19" s="118"/>
    </row>
    <row r="20" spans="1:48" ht="21">
      <c r="A20" s="46">
        <v>14</v>
      </c>
      <c r="B20" s="32"/>
      <c r="C20" s="32"/>
      <c r="D20" s="32"/>
      <c r="E20" s="32"/>
      <c r="F20" s="32"/>
      <c r="G20" s="32"/>
      <c r="H20" s="48"/>
      <c r="I20" s="48"/>
      <c r="J20" s="48"/>
      <c r="K20" s="113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29">
        <f t="shared" si="14"/>
        <v>0</v>
      </c>
      <c r="AB20" s="32"/>
      <c r="AC20" s="32"/>
      <c r="AD20" s="32"/>
      <c r="AE20" s="32"/>
      <c r="AF20" s="32"/>
      <c r="AG20" s="40"/>
      <c r="AH20" s="39" t="e">
        <f t="shared" si="5"/>
        <v>#DIV/0!</v>
      </c>
      <c r="AI20" s="126">
        <f t="shared" si="6"/>
        <v>0</v>
      </c>
      <c r="AJ20" s="126">
        <f t="shared" si="7"/>
        <v>0</v>
      </c>
      <c r="AK20" s="8">
        <f t="shared" si="8"/>
        <v>0</v>
      </c>
      <c r="AL20" s="9" t="str">
        <f t="shared" si="0"/>
        <v>0%</v>
      </c>
      <c r="AM20" s="10" t="str">
        <f t="shared" si="1"/>
        <v>0%</v>
      </c>
      <c r="AN20" s="9" t="str">
        <f t="shared" si="2"/>
        <v>0%</v>
      </c>
      <c r="AO20" s="9" t="str">
        <f t="shared" si="9"/>
        <v>0%</v>
      </c>
      <c r="AP20" s="11">
        <f t="shared" si="10"/>
        <v>0</v>
      </c>
      <c r="AQ20" s="8" t="str">
        <f t="shared" si="3"/>
        <v>-</v>
      </c>
      <c r="AR20" s="12" t="str">
        <f t="shared" si="11"/>
        <v>-</v>
      </c>
      <c r="AS20" s="12" t="str">
        <f t="shared" si="4"/>
        <v>-</v>
      </c>
      <c r="AT20" s="13" t="str">
        <f t="shared" si="12"/>
        <v>-</v>
      </c>
      <c r="AU20" s="117" t="str">
        <f t="shared" si="13"/>
        <v>-</v>
      </c>
      <c r="AV20" s="118"/>
    </row>
    <row r="21" spans="1:48" ht="21">
      <c r="A21" s="46">
        <v>15</v>
      </c>
      <c r="B21" s="32"/>
      <c r="C21" s="32"/>
      <c r="D21" s="32"/>
      <c r="E21" s="32"/>
      <c r="F21" s="32"/>
      <c r="G21" s="32"/>
      <c r="H21" s="48"/>
      <c r="I21" s="48"/>
      <c r="J21" s="48"/>
      <c r="K21" s="113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29">
        <f t="shared" si="14"/>
        <v>0</v>
      </c>
      <c r="AB21" s="32"/>
      <c r="AC21" s="32"/>
      <c r="AD21" s="32"/>
      <c r="AE21" s="32"/>
      <c r="AF21" s="32"/>
      <c r="AG21" s="40"/>
      <c r="AH21" s="39" t="e">
        <f t="shared" si="5"/>
        <v>#DIV/0!</v>
      </c>
      <c r="AI21" s="126">
        <f t="shared" si="6"/>
        <v>0</v>
      </c>
      <c r="AJ21" s="126">
        <f t="shared" si="7"/>
        <v>0</v>
      </c>
      <c r="AK21" s="8">
        <f t="shared" si="8"/>
        <v>0</v>
      </c>
      <c r="AL21" s="9" t="str">
        <f t="shared" si="0"/>
        <v>0%</v>
      </c>
      <c r="AM21" s="10" t="str">
        <f t="shared" si="1"/>
        <v>0%</v>
      </c>
      <c r="AN21" s="9" t="str">
        <f t="shared" si="2"/>
        <v>0%</v>
      </c>
      <c r="AO21" s="9" t="str">
        <f t="shared" si="9"/>
        <v>0%</v>
      </c>
      <c r="AP21" s="11">
        <f t="shared" si="10"/>
        <v>0</v>
      </c>
      <c r="AQ21" s="8" t="str">
        <f t="shared" si="3"/>
        <v>-</v>
      </c>
      <c r="AR21" s="12" t="str">
        <f t="shared" si="11"/>
        <v>-</v>
      </c>
      <c r="AS21" s="12" t="str">
        <f t="shared" si="4"/>
        <v>-</v>
      </c>
      <c r="AT21" s="13" t="str">
        <f t="shared" si="12"/>
        <v>-</v>
      </c>
      <c r="AU21" s="117" t="str">
        <f t="shared" si="13"/>
        <v>-</v>
      </c>
      <c r="AV21" s="118"/>
    </row>
    <row r="22" spans="1:48" ht="21">
      <c r="A22" s="46">
        <v>16</v>
      </c>
      <c r="B22" s="32"/>
      <c r="C22" s="32"/>
      <c r="D22" s="32"/>
      <c r="E22" s="32"/>
      <c r="F22" s="32"/>
      <c r="G22" s="32"/>
      <c r="H22" s="48"/>
      <c r="I22" s="48"/>
      <c r="J22" s="48"/>
      <c r="K22" s="113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29">
        <f t="shared" si="14"/>
        <v>0</v>
      </c>
      <c r="AB22" s="32"/>
      <c r="AC22" s="32"/>
      <c r="AD22" s="32"/>
      <c r="AE22" s="32"/>
      <c r="AF22" s="32"/>
      <c r="AG22" s="40"/>
      <c r="AH22" s="39" t="e">
        <f t="shared" si="5"/>
        <v>#DIV/0!</v>
      </c>
      <c r="AI22" s="126">
        <f t="shared" si="6"/>
        <v>0</v>
      </c>
      <c r="AJ22" s="126">
        <f t="shared" si="7"/>
        <v>0</v>
      </c>
      <c r="AK22" s="8">
        <f t="shared" si="8"/>
        <v>0</v>
      </c>
      <c r="AL22" s="9" t="str">
        <f t="shared" si="0"/>
        <v>0%</v>
      </c>
      <c r="AM22" s="10" t="str">
        <f t="shared" si="1"/>
        <v>0%</v>
      </c>
      <c r="AN22" s="9" t="str">
        <f t="shared" si="2"/>
        <v>0%</v>
      </c>
      <c r="AO22" s="9" t="str">
        <f t="shared" si="9"/>
        <v>0%</v>
      </c>
      <c r="AP22" s="11">
        <f t="shared" si="10"/>
        <v>0</v>
      </c>
      <c r="AQ22" s="8" t="str">
        <f t="shared" si="3"/>
        <v>-</v>
      </c>
      <c r="AR22" s="12" t="str">
        <f t="shared" si="11"/>
        <v>-</v>
      </c>
      <c r="AS22" s="12" t="str">
        <f t="shared" si="4"/>
        <v>-</v>
      </c>
      <c r="AT22" s="13" t="str">
        <f t="shared" si="12"/>
        <v>-</v>
      </c>
      <c r="AU22" s="117" t="str">
        <f t="shared" si="13"/>
        <v>-</v>
      </c>
      <c r="AV22" s="118"/>
    </row>
    <row r="23" spans="1:48" ht="21">
      <c r="A23" s="46">
        <v>17</v>
      </c>
      <c r="B23" s="32"/>
      <c r="C23" s="32"/>
      <c r="D23" s="32"/>
      <c r="E23" s="32"/>
      <c r="F23" s="32"/>
      <c r="G23" s="32"/>
      <c r="H23" s="48"/>
      <c r="I23" s="48"/>
      <c r="J23" s="48"/>
      <c r="K23" s="113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29">
        <f t="shared" si="14"/>
        <v>0</v>
      </c>
      <c r="AB23" s="32"/>
      <c r="AC23" s="32"/>
      <c r="AD23" s="32"/>
      <c r="AE23" s="32"/>
      <c r="AF23" s="32"/>
      <c r="AG23" s="40"/>
      <c r="AH23" s="39" t="e">
        <f t="shared" si="5"/>
        <v>#DIV/0!</v>
      </c>
      <c r="AI23" s="126">
        <f t="shared" si="6"/>
        <v>0</v>
      </c>
      <c r="AJ23" s="126">
        <f t="shared" si="7"/>
        <v>0</v>
      </c>
      <c r="AK23" s="8">
        <f t="shared" si="8"/>
        <v>0</v>
      </c>
      <c r="AL23" s="9" t="str">
        <f t="shared" si="0"/>
        <v>0%</v>
      </c>
      <c r="AM23" s="10" t="str">
        <f t="shared" si="1"/>
        <v>0%</v>
      </c>
      <c r="AN23" s="9" t="str">
        <f t="shared" si="2"/>
        <v>0%</v>
      </c>
      <c r="AO23" s="9" t="str">
        <f t="shared" si="9"/>
        <v>0%</v>
      </c>
      <c r="AP23" s="11">
        <f t="shared" si="10"/>
        <v>0</v>
      </c>
      <c r="AQ23" s="8" t="str">
        <f t="shared" si="3"/>
        <v>-</v>
      </c>
      <c r="AR23" s="12" t="str">
        <f t="shared" si="11"/>
        <v>-</v>
      </c>
      <c r="AS23" s="12" t="str">
        <f t="shared" si="4"/>
        <v>-</v>
      </c>
      <c r="AT23" s="13" t="str">
        <f t="shared" si="12"/>
        <v>-</v>
      </c>
      <c r="AU23" s="117" t="str">
        <f t="shared" si="13"/>
        <v>-</v>
      </c>
      <c r="AV23" s="118"/>
    </row>
    <row r="24" spans="1:48" ht="21">
      <c r="A24" s="46">
        <v>18</v>
      </c>
      <c r="B24" s="32"/>
      <c r="C24" s="32"/>
      <c r="D24" s="32"/>
      <c r="E24" s="32"/>
      <c r="F24" s="32"/>
      <c r="G24" s="32"/>
      <c r="H24" s="48"/>
      <c r="I24" s="48"/>
      <c r="J24" s="48"/>
      <c r="K24" s="113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29">
        <f t="shared" si="14"/>
        <v>0</v>
      </c>
      <c r="AB24" s="32"/>
      <c r="AC24" s="32"/>
      <c r="AD24" s="32"/>
      <c r="AE24" s="32"/>
      <c r="AF24" s="32"/>
      <c r="AG24" s="40"/>
      <c r="AH24" s="39" t="e">
        <f t="shared" si="5"/>
        <v>#DIV/0!</v>
      </c>
      <c r="AI24" s="126">
        <f t="shared" si="6"/>
        <v>0</v>
      </c>
      <c r="AJ24" s="126">
        <f t="shared" si="7"/>
        <v>0</v>
      </c>
      <c r="AK24" s="8">
        <f t="shared" si="8"/>
        <v>0</v>
      </c>
      <c r="AL24" s="9" t="str">
        <f t="shared" si="0"/>
        <v>0%</v>
      </c>
      <c r="AM24" s="10" t="str">
        <f t="shared" si="1"/>
        <v>0%</v>
      </c>
      <c r="AN24" s="9" t="str">
        <f t="shared" si="2"/>
        <v>0%</v>
      </c>
      <c r="AO24" s="9" t="str">
        <f t="shared" si="9"/>
        <v>0%</v>
      </c>
      <c r="AP24" s="11">
        <f t="shared" si="10"/>
        <v>0</v>
      </c>
      <c r="AQ24" s="8" t="str">
        <f t="shared" si="3"/>
        <v>-</v>
      </c>
      <c r="AR24" s="12" t="str">
        <f t="shared" si="11"/>
        <v>-</v>
      </c>
      <c r="AS24" s="12" t="str">
        <f t="shared" si="4"/>
        <v>-</v>
      </c>
      <c r="AT24" s="13" t="str">
        <f t="shared" si="12"/>
        <v>-</v>
      </c>
      <c r="AU24" s="117" t="str">
        <f t="shared" si="13"/>
        <v>-</v>
      </c>
      <c r="AV24" s="118"/>
    </row>
    <row r="25" spans="1:48" ht="21">
      <c r="A25" s="46">
        <v>19</v>
      </c>
      <c r="B25" s="32"/>
      <c r="C25" s="32"/>
      <c r="D25" s="32"/>
      <c r="E25" s="32"/>
      <c r="F25" s="32"/>
      <c r="G25" s="32"/>
      <c r="H25" s="48"/>
      <c r="I25" s="48"/>
      <c r="J25" s="48"/>
      <c r="K25" s="113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29">
        <f t="shared" si="14"/>
        <v>0</v>
      </c>
      <c r="AB25" s="32"/>
      <c r="AC25" s="32"/>
      <c r="AD25" s="32"/>
      <c r="AE25" s="32"/>
      <c r="AF25" s="32"/>
      <c r="AG25" s="40"/>
      <c r="AH25" s="39" t="e">
        <f t="shared" si="5"/>
        <v>#DIV/0!</v>
      </c>
      <c r="AI25" s="126">
        <f t="shared" si="6"/>
        <v>0</v>
      </c>
      <c r="AJ25" s="126">
        <f t="shared" si="7"/>
        <v>0</v>
      </c>
      <c r="AK25" s="8">
        <f t="shared" si="8"/>
        <v>0</v>
      </c>
      <c r="AL25" s="9" t="str">
        <f t="shared" si="0"/>
        <v>0%</v>
      </c>
      <c r="AM25" s="10" t="str">
        <f t="shared" si="1"/>
        <v>0%</v>
      </c>
      <c r="AN25" s="9" t="str">
        <f t="shared" si="2"/>
        <v>0%</v>
      </c>
      <c r="AO25" s="9" t="str">
        <f t="shared" si="9"/>
        <v>0%</v>
      </c>
      <c r="AP25" s="11">
        <f t="shared" si="10"/>
        <v>0</v>
      </c>
      <c r="AQ25" s="8" t="str">
        <f t="shared" si="3"/>
        <v>-</v>
      </c>
      <c r="AR25" s="12" t="str">
        <f t="shared" si="11"/>
        <v>-</v>
      </c>
      <c r="AS25" s="12" t="str">
        <f t="shared" si="4"/>
        <v>-</v>
      </c>
      <c r="AT25" s="13" t="str">
        <f t="shared" si="12"/>
        <v>-</v>
      </c>
      <c r="AU25" s="117" t="str">
        <f t="shared" si="13"/>
        <v>-</v>
      </c>
      <c r="AV25" s="118"/>
    </row>
    <row r="26" spans="1:48" ht="21">
      <c r="A26" s="46">
        <v>20</v>
      </c>
      <c r="B26" s="32"/>
      <c r="C26" s="32"/>
      <c r="D26" s="32"/>
      <c r="E26" s="32"/>
      <c r="F26" s="32"/>
      <c r="G26" s="32"/>
      <c r="H26" s="48"/>
      <c r="I26" s="48"/>
      <c r="J26" s="48"/>
      <c r="K26" s="113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29">
        <f t="shared" si="14"/>
        <v>0</v>
      </c>
      <c r="AB26" s="32"/>
      <c r="AC26" s="32"/>
      <c r="AD26" s="32"/>
      <c r="AE26" s="32"/>
      <c r="AF26" s="32"/>
      <c r="AG26" s="40"/>
      <c r="AH26" s="39" t="e">
        <f t="shared" si="5"/>
        <v>#DIV/0!</v>
      </c>
      <c r="AI26" s="126">
        <f t="shared" si="6"/>
        <v>0</v>
      </c>
      <c r="AJ26" s="126">
        <f t="shared" si="7"/>
        <v>0</v>
      </c>
      <c r="AK26" s="8">
        <f t="shared" si="8"/>
        <v>0</v>
      </c>
      <c r="AL26" s="9" t="str">
        <f t="shared" si="0"/>
        <v>0%</v>
      </c>
      <c r="AM26" s="10" t="str">
        <f t="shared" si="1"/>
        <v>0%</v>
      </c>
      <c r="AN26" s="9" t="str">
        <f t="shared" si="2"/>
        <v>0%</v>
      </c>
      <c r="AO26" s="9" t="str">
        <f t="shared" si="9"/>
        <v>0%</v>
      </c>
      <c r="AP26" s="11">
        <f t="shared" si="10"/>
        <v>0</v>
      </c>
      <c r="AQ26" s="8" t="str">
        <f t="shared" si="3"/>
        <v>-</v>
      </c>
      <c r="AR26" s="12" t="str">
        <f t="shared" si="11"/>
        <v>-</v>
      </c>
      <c r="AS26" s="12" t="str">
        <f t="shared" si="4"/>
        <v>-</v>
      </c>
      <c r="AT26" s="13" t="str">
        <f t="shared" si="12"/>
        <v>-</v>
      </c>
      <c r="AU26" s="117" t="str">
        <f t="shared" si="13"/>
        <v>-</v>
      </c>
      <c r="AV26" s="118"/>
    </row>
    <row r="27" spans="1:48" ht="21">
      <c r="A27" s="46">
        <v>21</v>
      </c>
      <c r="B27" s="32"/>
      <c r="C27" s="32"/>
      <c r="D27" s="32"/>
      <c r="E27" s="32"/>
      <c r="F27" s="32"/>
      <c r="G27" s="32"/>
      <c r="H27" s="48"/>
      <c r="I27" s="48"/>
      <c r="J27" s="48"/>
      <c r="K27" s="113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29">
        <f t="shared" si="14"/>
        <v>0</v>
      </c>
      <c r="AB27" s="32"/>
      <c r="AC27" s="32"/>
      <c r="AD27" s="32"/>
      <c r="AE27" s="32"/>
      <c r="AF27" s="32"/>
      <c r="AG27" s="40"/>
      <c r="AH27" s="39" t="e">
        <f t="shared" si="5"/>
        <v>#DIV/0!</v>
      </c>
      <c r="AI27" s="126">
        <f t="shared" si="6"/>
        <v>0</v>
      </c>
      <c r="AJ27" s="126">
        <f t="shared" si="7"/>
        <v>0</v>
      </c>
      <c r="AK27" s="8">
        <f t="shared" si="8"/>
        <v>0</v>
      </c>
      <c r="AL27" s="9" t="str">
        <f t="shared" si="0"/>
        <v>0%</v>
      </c>
      <c r="AM27" s="10" t="str">
        <f t="shared" si="1"/>
        <v>0%</v>
      </c>
      <c r="AN27" s="9" t="str">
        <f t="shared" si="2"/>
        <v>0%</v>
      </c>
      <c r="AO27" s="9" t="str">
        <f t="shared" si="9"/>
        <v>0%</v>
      </c>
      <c r="AP27" s="11">
        <f t="shared" si="10"/>
        <v>0</v>
      </c>
      <c r="AQ27" s="8" t="str">
        <f t="shared" si="3"/>
        <v>-</v>
      </c>
      <c r="AR27" s="12" t="str">
        <f t="shared" si="11"/>
        <v>-</v>
      </c>
      <c r="AS27" s="12" t="str">
        <f t="shared" si="4"/>
        <v>-</v>
      </c>
      <c r="AT27" s="13" t="str">
        <f t="shared" si="12"/>
        <v>-</v>
      </c>
      <c r="AU27" s="117" t="str">
        <f t="shared" si="13"/>
        <v>-</v>
      </c>
      <c r="AV27" s="118"/>
    </row>
    <row r="28" spans="1:48" ht="21">
      <c r="A28" s="46">
        <v>22</v>
      </c>
      <c r="B28" s="32"/>
      <c r="C28" s="32"/>
      <c r="D28" s="32"/>
      <c r="E28" s="32"/>
      <c r="F28" s="32"/>
      <c r="G28" s="32"/>
      <c r="H28" s="48"/>
      <c r="I28" s="48"/>
      <c r="J28" s="48"/>
      <c r="K28" s="113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29">
        <f t="shared" si="14"/>
        <v>0</v>
      </c>
      <c r="AB28" s="32"/>
      <c r="AC28" s="32"/>
      <c r="AD28" s="32"/>
      <c r="AE28" s="32"/>
      <c r="AF28" s="32"/>
      <c r="AG28" s="40"/>
      <c r="AH28" s="39" t="e">
        <f t="shared" si="5"/>
        <v>#DIV/0!</v>
      </c>
      <c r="AI28" s="126">
        <f t="shared" si="6"/>
        <v>0</v>
      </c>
      <c r="AJ28" s="126">
        <f t="shared" si="7"/>
        <v>0</v>
      </c>
      <c r="AK28" s="8">
        <f t="shared" si="8"/>
        <v>0</v>
      </c>
      <c r="AL28" s="9" t="str">
        <f t="shared" si="0"/>
        <v>0%</v>
      </c>
      <c r="AM28" s="10" t="str">
        <f t="shared" si="1"/>
        <v>0%</v>
      </c>
      <c r="AN28" s="9" t="str">
        <f t="shared" si="2"/>
        <v>0%</v>
      </c>
      <c r="AO28" s="9" t="str">
        <f t="shared" si="9"/>
        <v>0%</v>
      </c>
      <c r="AP28" s="11">
        <f t="shared" si="10"/>
        <v>0</v>
      </c>
      <c r="AQ28" s="8" t="str">
        <f t="shared" si="3"/>
        <v>-</v>
      </c>
      <c r="AR28" s="12" t="str">
        <f t="shared" si="11"/>
        <v>-</v>
      </c>
      <c r="AS28" s="12" t="str">
        <f t="shared" si="4"/>
        <v>-</v>
      </c>
      <c r="AT28" s="13" t="str">
        <f t="shared" si="12"/>
        <v>-</v>
      </c>
      <c r="AU28" s="117" t="str">
        <f t="shared" si="13"/>
        <v>-</v>
      </c>
      <c r="AV28" s="118"/>
    </row>
    <row r="29" spans="1:48" ht="21">
      <c r="A29" s="46">
        <v>23</v>
      </c>
      <c r="B29" s="32"/>
      <c r="C29" s="32"/>
      <c r="D29" s="32"/>
      <c r="E29" s="32"/>
      <c r="F29" s="32"/>
      <c r="G29" s="32"/>
      <c r="H29" s="48"/>
      <c r="I29" s="48"/>
      <c r="J29" s="48"/>
      <c r="K29" s="113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29">
        <f t="shared" si="14"/>
        <v>0</v>
      </c>
      <c r="AB29" s="32"/>
      <c r="AC29" s="32"/>
      <c r="AD29" s="32"/>
      <c r="AE29" s="32"/>
      <c r="AF29" s="32"/>
      <c r="AG29" s="40"/>
      <c r="AH29" s="39" t="e">
        <f t="shared" si="5"/>
        <v>#DIV/0!</v>
      </c>
      <c r="AI29" s="126">
        <f t="shared" si="6"/>
        <v>0</v>
      </c>
      <c r="AJ29" s="126">
        <f t="shared" si="7"/>
        <v>0</v>
      </c>
      <c r="AK29" s="8">
        <f t="shared" si="8"/>
        <v>0</v>
      </c>
      <c r="AL29" s="9" t="str">
        <f t="shared" si="0"/>
        <v>0%</v>
      </c>
      <c r="AM29" s="10" t="str">
        <f t="shared" si="1"/>
        <v>0%</v>
      </c>
      <c r="AN29" s="9" t="str">
        <f t="shared" si="2"/>
        <v>0%</v>
      </c>
      <c r="AO29" s="9" t="str">
        <f t="shared" si="9"/>
        <v>0%</v>
      </c>
      <c r="AP29" s="11">
        <f t="shared" si="10"/>
        <v>0</v>
      </c>
      <c r="AQ29" s="8" t="str">
        <f t="shared" si="3"/>
        <v>-</v>
      </c>
      <c r="AR29" s="12" t="str">
        <f t="shared" si="11"/>
        <v>-</v>
      </c>
      <c r="AS29" s="12" t="str">
        <f t="shared" si="4"/>
        <v>-</v>
      </c>
      <c r="AT29" s="13" t="str">
        <f t="shared" si="12"/>
        <v>-</v>
      </c>
      <c r="AU29" s="117" t="str">
        <f t="shared" si="13"/>
        <v>-</v>
      </c>
      <c r="AV29" s="118"/>
    </row>
    <row r="30" spans="1:48" ht="21">
      <c r="A30" s="46">
        <v>24</v>
      </c>
      <c r="B30" s="32"/>
      <c r="C30" s="32"/>
      <c r="D30" s="32"/>
      <c r="E30" s="32"/>
      <c r="F30" s="32"/>
      <c r="G30" s="32"/>
      <c r="H30" s="48"/>
      <c r="I30" s="48"/>
      <c r="J30" s="48"/>
      <c r="K30" s="113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29">
        <f t="shared" si="14"/>
        <v>0</v>
      </c>
      <c r="AB30" s="32"/>
      <c r="AC30" s="32"/>
      <c r="AD30" s="32"/>
      <c r="AE30" s="32"/>
      <c r="AF30" s="32"/>
      <c r="AG30" s="40"/>
      <c r="AH30" s="39" t="e">
        <f t="shared" si="5"/>
        <v>#DIV/0!</v>
      </c>
      <c r="AI30" s="126">
        <f t="shared" si="6"/>
        <v>0</v>
      </c>
      <c r="AJ30" s="126">
        <f t="shared" si="7"/>
        <v>0</v>
      </c>
      <c r="AK30" s="8">
        <f t="shared" si="8"/>
        <v>0</v>
      </c>
      <c r="AL30" s="9" t="str">
        <f t="shared" si="0"/>
        <v>0%</v>
      </c>
      <c r="AM30" s="10" t="str">
        <f t="shared" si="1"/>
        <v>0%</v>
      </c>
      <c r="AN30" s="9" t="str">
        <f t="shared" si="2"/>
        <v>0%</v>
      </c>
      <c r="AO30" s="9" t="str">
        <f t="shared" si="9"/>
        <v>0%</v>
      </c>
      <c r="AP30" s="11">
        <f t="shared" si="10"/>
        <v>0</v>
      </c>
      <c r="AQ30" s="8" t="str">
        <f t="shared" si="3"/>
        <v>-</v>
      </c>
      <c r="AR30" s="12" t="str">
        <f t="shared" si="11"/>
        <v>-</v>
      </c>
      <c r="AS30" s="12" t="str">
        <f t="shared" si="4"/>
        <v>-</v>
      </c>
      <c r="AT30" s="13" t="str">
        <f t="shared" si="12"/>
        <v>-</v>
      </c>
      <c r="AU30" s="117" t="str">
        <f t="shared" si="13"/>
        <v>-</v>
      </c>
      <c r="AV30" s="118"/>
    </row>
    <row r="31" spans="1:48" ht="21">
      <c r="A31" s="46">
        <v>25</v>
      </c>
      <c r="B31" s="32"/>
      <c r="C31" s="32"/>
      <c r="D31" s="32"/>
      <c r="E31" s="32"/>
      <c r="F31" s="32"/>
      <c r="G31" s="32"/>
      <c r="H31" s="48"/>
      <c r="I31" s="48"/>
      <c r="J31" s="48"/>
      <c r="K31" s="113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29">
        <f t="shared" si="14"/>
        <v>0</v>
      </c>
      <c r="AB31" s="32"/>
      <c r="AC31" s="32"/>
      <c r="AD31" s="32"/>
      <c r="AE31" s="32"/>
      <c r="AF31" s="32"/>
      <c r="AG31" s="40"/>
      <c r="AH31" s="39" t="e">
        <f t="shared" si="5"/>
        <v>#DIV/0!</v>
      </c>
      <c r="AI31" s="126">
        <f t="shared" si="6"/>
        <v>0</v>
      </c>
      <c r="AJ31" s="126">
        <f t="shared" si="7"/>
        <v>0</v>
      </c>
      <c r="AK31" s="8">
        <f t="shared" si="8"/>
        <v>0</v>
      </c>
      <c r="AL31" s="9" t="str">
        <f t="shared" si="0"/>
        <v>0%</v>
      </c>
      <c r="AM31" s="10" t="str">
        <f t="shared" si="1"/>
        <v>0%</v>
      </c>
      <c r="AN31" s="9" t="str">
        <f t="shared" si="2"/>
        <v>0%</v>
      </c>
      <c r="AO31" s="9" t="str">
        <f t="shared" si="9"/>
        <v>0%</v>
      </c>
      <c r="AP31" s="11">
        <f t="shared" si="10"/>
        <v>0</v>
      </c>
      <c r="AQ31" s="8" t="str">
        <f t="shared" si="3"/>
        <v>-</v>
      </c>
      <c r="AR31" s="12" t="str">
        <f t="shared" si="11"/>
        <v>-</v>
      </c>
      <c r="AS31" s="12" t="str">
        <f t="shared" si="4"/>
        <v>-</v>
      </c>
      <c r="AT31" s="13" t="str">
        <f t="shared" si="12"/>
        <v>-</v>
      </c>
      <c r="AU31" s="117" t="str">
        <f t="shared" si="13"/>
        <v>-</v>
      </c>
      <c r="AV31" s="118"/>
    </row>
    <row r="32" spans="1:48" ht="21">
      <c r="A32" s="46">
        <v>26</v>
      </c>
      <c r="B32" s="32"/>
      <c r="C32" s="32"/>
      <c r="D32" s="32"/>
      <c r="E32" s="32"/>
      <c r="F32" s="32"/>
      <c r="G32" s="32"/>
      <c r="H32" s="48"/>
      <c r="I32" s="48"/>
      <c r="J32" s="48"/>
      <c r="K32" s="113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29">
        <f t="shared" si="14"/>
        <v>0</v>
      </c>
      <c r="AB32" s="32"/>
      <c r="AC32" s="32"/>
      <c r="AD32" s="32"/>
      <c r="AE32" s="32"/>
      <c r="AF32" s="32"/>
      <c r="AG32" s="40"/>
      <c r="AH32" s="39" t="e">
        <f t="shared" si="5"/>
        <v>#DIV/0!</v>
      </c>
      <c r="AI32" s="126">
        <f t="shared" si="6"/>
        <v>0</v>
      </c>
      <c r="AJ32" s="126">
        <f t="shared" si="7"/>
        <v>0</v>
      </c>
      <c r="AK32" s="8">
        <f t="shared" si="8"/>
        <v>0</v>
      </c>
      <c r="AL32" s="9" t="str">
        <f t="shared" si="0"/>
        <v>0%</v>
      </c>
      <c r="AM32" s="10" t="str">
        <f t="shared" si="1"/>
        <v>0%</v>
      </c>
      <c r="AN32" s="9" t="str">
        <f t="shared" si="2"/>
        <v>0%</v>
      </c>
      <c r="AO32" s="9" t="str">
        <f t="shared" si="9"/>
        <v>0%</v>
      </c>
      <c r="AP32" s="11">
        <f t="shared" si="10"/>
        <v>0</v>
      </c>
      <c r="AQ32" s="8" t="str">
        <f t="shared" si="3"/>
        <v>-</v>
      </c>
      <c r="AR32" s="12" t="str">
        <f t="shared" si="11"/>
        <v>-</v>
      </c>
      <c r="AS32" s="12" t="str">
        <f t="shared" si="4"/>
        <v>-</v>
      </c>
      <c r="AT32" s="13" t="str">
        <f t="shared" si="12"/>
        <v>-</v>
      </c>
      <c r="AU32" s="117" t="str">
        <f t="shared" si="13"/>
        <v>-</v>
      </c>
      <c r="AV32" s="118"/>
    </row>
    <row r="33" spans="1:48" ht="21">
      <c r="A33" s="46">
        <v>27</v>
      </c>
      <c r="B33" s="32"/>
      <c r="C33" s="32"/>
      <c r="D33" s="32"/>
      <c r="E33" s="32"/>
      <c r="F33" s="32"/>
      <c r="G33" s="32"/>
      <c r="H33" s="48"/>
      <c r="I33" s="48"/>
      <c r="J33" s="48"/>
      <c r="K33" s="113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29">
        <f t="shared" si="14"/>
        <v>0</v>
      </c>
      <c r="AB33" s="32"/>
      <c r="AC33" s="32"/>
      <c r="AD33" s="32"/>
      <c r="AE33" s="32"/>
      <c r="AF33" s="32"/>
      <c r="AG33" s="40"/>
      <c r="AH33" s="39" t="e">
        <f t="shared" si="5"/>
        <v>#DIV/0!</v>
      </c>
      <c r="AI33" s="126">
        <f t="shared" si="6"/>
        <v>0</v>
      </c>
      <c r="AJ33" s="126">
        <f t="shared" si="7"/>
        <v>0</v>
      </c>
      <c r="AK33" s="8">
        <f t="shared" si="8"/>
        <v>0</v>
      </c>
      <c r="AL33" s="9" t="str">
        <f t="shared" si="0"/>
        <v>0%</v>
      </c>
      <c r="AM33" s="10" t="str">
        <f t="shared" si="1"/>
        <v>0%</v>
      </c>
      <c r="AN33" s="9" t="str">
        <f t="shared" si="2"/>
        <v>0%</v>
      </c>
      <c r="AO33" s="9" t="str">
        <f t="shared" si="9"/>
        <v>0%</v>
      </c>
      <c r="AP33" s="11">
        <f t="shared" si="10"/>
        <v>0</v>
      </c>
      <c r="AQ33" s="8" t="str">
        <f t="shared" si="3"/>
        <v>-</v>
      </c>
      <c r="AR33" s="12" t="str">
        <f t="shared" si="11"/>
        <v>-</v>
      </c>
      <c r="AS33" s="12" t="str">
        <f t="shared" si="4"/>
        <v>-</v>
      </c>
      <c r="AT33" s="13" t="str">
        <f t="shared" si="12"/>
        <v>-</v>
      </c>
      <c r="AU33" s="117" t="str">
        <f t="shared" si="13"/>
        <v>-</v>
      </c>
      <c r="AV33" s="118"/>
    </row>
    <row r="34" spans="1:48" ht="21">
      <c r="A34" s="46">
        <v>28</v>
      </c>
      <c r="B34" s="32"/>
      <c r="C34" s="32"/>
      <c r="D34" s="32"/>
      <c r="E34" s="32"/>
      <c r="F34" s="32"/>
      <c r="G34" s="32"/>
      <c r="H34" s="48"/>
      <c r="I34" s="48"/>
      <c r="J34" s="48"/>
      <c r="K34" s="113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29">
        <f t="shared" si="14"/>
        <v>0</v>
      </c>
      <c r="AB34" s="32"/>
      <c r="AC34" s="32"/>
      <c r="AD34" s="32"/>
      <c r="AE34" s="32"/>
      <c r="AF34" s="32"/>
      <c r="AG34" s="40"/>
      <c r="AH34" s="39" t="e">
        <f t="shared" si="5"/>
        <v>#DIV/0!</v>
      </c>
      <c r="AI34" s="126">
        <f t="shared" si="6"/>
        <v>0</v>
      </c>
      <c r="AJ34" s="126">
        <f t="shared" si="7"/>
        <v>0</v>
      </c>
      <c r="AK34" s="8">
        <f t="shared" si="8"/>
        <v>0</v>
      </c>
      <c r="AL34" s="9" t="str">
        <f t="shared" si="0"/>
        <v>0%</v>
      </c>
      <c r="AM34" s="10" t="str">
        <f t="shared" si="1"/>
        <v>0%</v>
      </c>
      <c r="AN34" s="9" t="str">
        <f t="shared" si="2"/>
        <v>0%</v>
      </c>
      <c r="AO34" s="9" t="str">
        <f t="shared" si="9"/>
        <v>0%</v>
      </c>
      <c r="AP34" s="11">
        <f t="shared" si="10"/>
        <v>0</v>
      </c>
      <c r="AQ34" s="8" t="str">
        <f t="shared" si="3"/>
        <v>-</v>
      </c>
      <c r="AR34" s="12" t="str">
        <f t="shared" si="11"/>
        <v>-</v>
      </c>
      <c r="AS34" s="12" t="str">
        <f t="shared" si="4"/>
        <v>-</v>
      </c>
      <c r="AT34" s="13" t="str">
        <f t="shared" si="12"/>
        <v>-</v>
      </c>
      <c r="AU34" s="117" t="str">
        <f t="shared" si="13"/>
        <v>-</v>
      </c>
      <c r="AV34" s="118"/>
    </row>
    <row r="35" spans="1:48" ht="21">
      <c r="A35" s="46">
        <v>29</v>
      </c>
      <c r="B35" s="32"/>
      <c r="C35" s="32"/>
      <c r="D35" s="32"/>
      <c r="E35" s="32"/>
      <c r="F35" s="32"/>
      <c r="G35" s="32"/>
      <c r="H35" s="48"/>
      <c r="I35" s="48"/>
      <c r="J35" s="48"/>
      <c r="K35" s="113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29">
        <f t="shared" si="14"/>
        <v>0</v>
      </c>
      <c r="AB35" s="32"/>
      <c r="AC35" s="32"/>
      <c r="AD35" s="32"/>
      <c r="AE35" s="32"/>
      <c r="AF35" s="32"/>
      <c r="AG35" s="40"/>
      <c r="AH35" s="39" t="e">
        <f t="shared" si="5"/>
        <v>#DIV/0!</v>
      </c>
      <c r="AI35" s="126">
        <f t="shared" si="6"/>
        <v>0</v>
      </c>
      <c r="AJ35" s="126">
        <f t="shared" si="7"/>
        <v>0</v>
      </c>
      <c r="AK35" s="8">
        <f t="shared" si="8"/>
        <v>0</v>
      </c>
      <c r="AL35" s="9" t="str">
        <f t="shared" si="0"/>
        <v>0%</v>
      </c>
      <c r="AM35" s="10" t="str">
        <f t="shared" si="1"/>
        <v>0%</v>
      </c>
      <c r="AN35" s="9" t="str">
        <f t="shared" si="2"/>
        <v>0%</v>
      </c>
      <c r="AO35" s="9" t="str">
        <f t="shared" si="9"/>
        <v>0%</v>
      </c>
      <c r="AP35" s="11">
        <f t="shared" si="10"/>
        <v>0</v>
      </c>
      <c r="AQ35" s="8" t="str">
        <f t="shared" si="3"/>
        <v>-</v>
      </c>
      <c r="AR35" s="12" t="str">
        <f t="shared" si="11"/>
        <v>-</v>
      </c>
      <c r="AS35" s="12" t="str">
        <f t="shared" si="4"/>
        <v>-</v>
      </c>
      <c r="AT35" s="13" t="str">
        <f t="shared" si="12"/>
        <v>-</v>
      </c>
      <c r="AU35" s="117" t="str">
        <f t="shared" si="13"/>
        <v>-</v>
      </c>
      <c r="AV35" s="118"/>
    </row>
    <row r="36" spans="1:48" ht="21">
      <c r="A36" s="46">
        <v>30</v>
      </c>
      <c r="B36" s="32"/>
      <c r="C36" s="32"/>
      <c r="D36" s="32"/>
      <c r="E36" s="32"/>
      <c r="F36" s="32"/>
      <c r="G36" s="32"/>
      <c r="H36" s="48"/>
      <c r="I36" s="48"/>
      <c r="J36" s="48"/>
      <c r="K36" s="113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29">
        <f t="shared" si="14"/>
        <v>0</v>
      </c>
      <c r="AB36" s="32"/>
      <c r="AC36" s="32"/>
      <c r="AD36" s="32"/>
      <c r="AE36" s="32"/>
      <c r="AF36" s="32"/>
      <c r="AG36" s="40"/>
      <c r="AH36" s="39" t="e">
        <f t="shared" si="5"/>
        <v>#DIV/0!</v>
      </c>
      <c r="AI36" s="126">
        <f t="shared" si="6"/>
        <v>0</v>
      </c>
      <c r="AJ36" s="126">
        <f t="shared" si="7"/>
        <v>0</v>
      </c>
      <c r="AK36" s="8">
        <f t="shared" si="8"/>
        <v>0</v>
      </c>
      <c r="AL36" s="9" t="str">
        <f t="shared" si="0"/>
        <v>0%</v>
      </c>
      <c r="AM36" s="10" t="str">
        <f t="shared" si="1"/>
        <v>0%</v>
      </c>
      <c r="AN36" s="9" t="str">
        <f t="shared" si="2"/>
        <v>0%</v>
      </c>
      <c r="AO36" s="9" t="str">
        <f t="shared" si="9"/>
        <v>0%</v>
      </c>
      <c r="AP36" s="11">
        <f t="shared" si="10"/>
        <v>0</v>
      </c>
      <c r="AQ36" s="8" t="str">
        <f t="shared" si="3"/>
        <v>-</v>
      </c>
      <c r="AR36" s="12" t="str">
        <f t="shared" si="11"/>
        <v>-</v>
      </c>
      <c r="AS36" s="12" t="str">
        <f t="shared" si="4"/>
        <v>-</v>
      </c>
      <c r="AT36" s="13" t="str">
        <f t="shared" si="12"/>
        <v>-</v>
      </c>
      <c r="AU36" s="117" t="str">
        <f t="shared" si="13"/>
        <v>-</v>
      </c>
      <c r="AV36" s="118"/>
    </row>
    <row r="37" spans="1:48" ht="21.75" thickBot="1">
      <c r="A37" s="47">
        <v>31</v>
      </c>
      <c r="B37" s="32"/>
      <c r="C37" s="32"/>
      <c r="D37" s="32"/>
      <c r="E37" s="32"/>
      <c r="F37" s="32"/>
      <c r="G37" s="32"/>
      <c r="H37" s="48"/>
      <c r="I37" s="48"/>
      <c r="J37" s="48"/>
      <c r="K37" s="113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29">
        <f t="shared" si="14"/>
        <v>0</v>
      </c>
      <c r="AB37" s="32"/>
      <c r="AC37" s="32"/>
      <c r="AD37" s="32"/>
      <c r="AE37" s="32"/>
      <c r="AF37" s="32"/>
      <c r="AG37" s="40"/>
      <c r="AH37" s="39" t="e">
        <f t="shared" si="5"/>
        <v>#DIV/0!</v>
      </c>
      <c r="AI37" s="126">
        <f t="shared" si="6"/>
        <v>0</v>
      </c>
      <c r="AJ37" s="126">
        <f t="shared" si="7"/>
        <v>0</v>
      </c>
      <c r="AK37" s="8">
        <f t="shared" si="8"/>
        <v>0</v>
      </c>
      <c r="AL37" s="9" t="str">
        <f t="shared" si="0"/>
        <v>0%</v>
      </c>
      <c r="AM37" s="10" t="str">
        <f t="shared" si="1"/>
        <v>0%</v>
      </c>
      <c r="AN37" s="9" t="str">
        <f t="shared" si="2"/>
        <v>0%</v>
      </c>
      <c r="AO37" s="9" t="str">
        <f t="shared" si="9"/>
        <v>0%</v>
      </c>
      <c r="AP37" s="11">
        <f t="shared" si="10"/>
        <v>0</v>
      </c>
      <c r="AQ37" s="8" t="str">
        <f t="shared" si="3"/>
        <v>-</v>
      </c>
      <c r="AR37" s="12" t="str">
        <f t="shared" si="11"/>
        <v>-</v>
      </c>
      <c r="AS37" s="12" t="str">
        <f t="shared" si="4"/>
        <v>-</v>
      </c>
      <c r="AT37" s="13" t="str">
        <f t="shared" si="12"/>
        <v>-</v>
      </c>
      <c r="AU37" s="117" t="str">
        <f t="shared" si="13"/>
        <v>-</v>
      </c>
      <c r="AV37" s="118"/>
    </row>
    <row r="38" spans="1:48" s="33" customFormat="1" ht="22.5">
      <c r="A38" s="43" t="s">
        <v>60</v>
      </c>
      <c r="B38" s="34">
        <f>SUM(B7:B37)</f>
        <v>0</v>
      </c>
      <c r="C38" s="34">
        <f t="shared" ref="C38:AG38" si="15">SUM(C7:C37)</f>
        <v>0</v>
      </c>
      <c r="D38" s="34">
        <f t="shared" si="15"/>
        <v>0</v>
      </c>
      <c r="E38" s="34">
        <f t="shared" si="15"/>
        <v>0</v>
      </c>
      <c r="F38" s="34">
        <f t="shared" si="15"/>
        <v>0</v>
      </c>
      <c r="G38" s="34">
        <f t="shared" si="15"/>
        <v>0</v>
      </c>
      <c r="H38" s="77">
        <f t="shared" si="15"/>
        <v>0</v>
      </c>
      <c r="I38" s="103">
        <f>SUM(I7:I37)</f>
        <v>0</v>
      </c>
      <c r="J38" s="103">
        <f>SUM(J7:J37)</f>
        <v>0</v>
      </c>
      <c r="K38" s="124">
        <f>SUM(K7:K37)</f>
        <v>0</v>
      </c>
      <c r="L38" s="37">
        <f t="shared" si="15"/>
        <v>0</v>
      </c>
      <c r="M38" s="37">
        <f t="shared" si="15"/>
        <v>0</v>
      </c>
      <c r="N38" s="37">
        <f t="shared" si="15"/>
        <v>0</v>
      </c>
      <c r="O38" s="37">
        <f t="shared" si="15"/>
        <v>0</v>
      </c>
      <c r="P38" s="37">
        <f t="shared" si="15"/>
        <v>0</v>
      </c>
      <c r="Q38" s="37">
        <f t="shared" si="15"/>
        <v>0</v>
      </c>
      <c r="R38" s="37">
        <f t="shared" si="15"/>
        <v>0</v>
      </c>
      <c r="S38" s="37">
        <f t="shared" si="15"/>
        <v>0</v>
      </c>
      <c r="T38" s="37">
        <f t="shared" si="15"/>
        <v>0</v>
      </c>
      <c r="U38" s="37">
        <f t="shared" si="15"/>
        <v>0</v>
      </c>
      <c r="V38" s="37">
        <f t="shared" si="15"/>
        <v>0</v>
      </c>
      <c r="W38" s="37">
        <f t="shared" si="15"/>
        <v>0</v>
      </c>
      <c r="X38" s="37">
        <f t="shared" si="15"/>
        <v>0</v>
      </c>
      <c r="Y38" s="37">
        <f t="shared" si="15"/>
        <v>0</v>
      </c>
      <c r="Z38" s="37">
        <f>SUM(Z7:Z37)</f>
        <v>0</v>
      </c>
      <c r="AA38" s="130">
        <f>SUM(AA7:AA37)</f>
        <v>0</v>
      </c>
      <c r="AB38" s="37">
        <f t="shared" si="15"/>
        <v>0</v>
      </c>
      <c r="AC38" s="71">
        <f t="shared" si="15"/>
        <v>0</v>
      </c>
      <c r="AD38" s="37">
        <f t="shared" si="15"/>
        <v>0</v>
      </c>
      <c r="AE38" s="71">
        <f t="shared" si="15"/>
        <v>0</v>
      </c>
      <c r="AF38" s="71">
        <f t="shared" si="15"/>
        <v>0</v>
      </c>
      <c r="AG38" s="74">
        <f t="shared" si="15"/>
        <v>0</v>
      </c>
      <c r="AH38" s="156" t="e">
        <f t="shared" si="5"/>
        <v>#DIV/0!</v>
      </c>
      <c r="AI38" s="150">
        <f>SUM(AI7:AI37)</f>
        <v>0</v>
      </c>
      <c r="AJ38" s="150">
        <f>SUM(AJ7:AJ37)</f>
        <v>0</v>
      </c>
      <c r="AK38" s="150">
        <f>SUM(AK7:AK37)</f>
        <v>0</v>
      </c>
      <c r="AL38" s="162" t="str">
        <f t="shared" si="0"/>
        <v>0%</v>
      </c>
      <c r="AM38" s="144" t="str">
        <f t="shared" si="1"/>
        <v>0%</v>
      </c>
      <c r="AN38" s="144" t="str">
        <f t="shared" si="2"/>
        <v>0%</v>
      </c>
      <c r="AO38" s="144" t="str">
        <f t="shared" si="9"/>
        <v>0%</v>
      </c>
      <c r="AP38" s="144">
        <f t="shared" si="10"/>
        <v>0</v>
      </c>
      <c r="AQ38" s="159" t="str">
        <f t="shared" si="3"/>
        <v>-</v>
      </c>
      <c r="AR38" s="159" t="str">
        <f t="shared" si="11"/>
        <v>-</v>
      </c>
      <c r="AS38" s="159" t="str">
        <f t="shared" si="4"/>
        <v>-</v>
      </c>
      <c r="AT38" s="168" t="str">
        <f t="shared" si="12"/>
        <v>-</v>
      </c>
      <c r="AU38" s="165" t="str">
        <f t="shared" si="13"/>
        <v>-</v>
      </c>
      <c r="AV38" s="121"/>
    </row>
    <row r="39" spans="1:48" s="33" customFormat="1" ht="22.5">
      <c r="A39" s="44" t="s">
        <v>61</v>
      </c>
      <c r="B39" s="35">
        <f>COUNTA(B7:B37)</f>
        <v>0</v>
      </c>
      <c r="C39" s="35">
        <f t="shared" ref="C39:AG39" si="16">COUNTA(C7:C37)</f>
        <v>0</v>
      </c>
      <c r="D39" s="35">
        <f t="shared" si="16"/>
        <v>0</v>
      </c>
      <c r="E39" s="35">
        <f t="shared" si="16"/>
        <v>0</v>
      </c>
      <c r="F39" s="35">
        <f t="shared" si="16"/>
        <v>0</v>
      </c>
      <c r="G39" s="35">
        <f t="shared" si="16"/>
        <v>0</v>
      </c>
      <c r="H39" s="78">
        <f t="shared" si="16"/>
        <v>0</v>
      </c>
      <c r="I39" s="104">
        <f>COUNTA(I7:I37)</f>
        <v>0</v>
      </c>
      <c r="J39" s="104">
        <f>COUNTA(J7:J37)</f>
        <v>0</v>
      </c>
      <c r="K39" s="113">
        <f>COUNTA(K7:K37)</f>
        <v>0</v>
      </c>
      <c r="L39" s="15">
        <f t="shared" si="16"/>
        <v>0</v>
      </c>
      <c r="M39" s="15">
        <f t="shared" si="16"/>
        <v>0</v>
      </c>
      <c r="N39" s="15">
        <f t="shared" si="16"/>
        <v>0</v>
      </c>
      <c r="O39" s="15">
        <f t="shared" si="16"/>
        <v>0</v>
      </c>
      <c r="P39" s="15">
        <f t="shared" si="16"/>
        <v>0</v>
      </c>
      <c r="Q39" s="15">
        <f t="shared" si="16"/>
        <v>0</v>
      </c>
      <c r="R39" s="15">
        <f t="shared" si="16"/>
        <v>0</v>
      </c>
      <c r="S39" s="15">
        <f t="shared" si="16"/>
        <v>0</v>
      </c>
      <c r="T39" s="15">
        <f t="shared" si="16"/>
        <v>0</v>
      </c>
      <c r="U39" s="15">
        <f t="shared" si="16"/>
        <v>0</v>
      </c>
      <c r="V39" s="15">
        <f t="shared" si="16"/>
        <v>0</v>
      </c>
      <c r="W39" s="15">
        <f t="shared" si="16"/>
        <v>0</v>
      </c>
      <c r="X39" s="15">
        <f t="shared" si="16"/>
        <v>0</v>
      </c>
      <c r="Y39" s="15">
        <f t="shared" si="16"/>
        <v>0</v>
      </c>
      <c r="Z39" s="15"/>
      <c r="AA39" s="131"/>
      <c r="AB39" s="15">
        <f t="shared" si="16"/>
        <v>0</v>
      </c>
      <c r="AC39" s="72">
        <f t="shared" si="16"/>
        <v>0</v>
      </c>
      <c r="AD39" s="15">
        <f t="shared" si="16"/>
        <v>0</v>
      </c>
      <c r="AE39" s="72">
        <f t="shared" si="16"/>
        <v>0</v>
      </c>
      <c r="AF39" s="72">
        <f t="shared" si="16"/>
        <v>0</v>
      </c>
      <c r="AG39" s="75">
        <f t="shared" si="16"/>
        <v>0</v>
      </c>
      <c r="AH39" s="157" t="e">
        <f t="shared" si="5"/>
        <v>#DIV/0!</v>
      </c>
      <c r="AI39" s="151">
        <f t="shared" ref="AI39:AK40" si="17">B39-I39</f>
        <v>0</v>
      </c>
      <c r="AJ39" s="151">
        <f t="shared" si="17"/>
        <v>0</v>
      </c>
      <c r="AK39" s="151">
        <f t="shared" si="17"/>
        <v>0</v>
      </c>
      <c r="AL39" s="163" t="str">
        <f t="shared" si="0"/>
        <v>0%</v>
      </c>
      <c r="AM39" s="145" t="str">
        <f t="shared" si="1"/>
        <v>0%</v>
      </c>
      <c r="AN39" s="145" t="str">
        <f t="shared" si="2"/>
        <v>0%</v>
      </c>
      <c r="AO39" s="145" t="str">
        <f t="shared" si="9"/>
        <v>0%</v>
      </c>
      <c r="AP39" s="145">
        <f t="shared" si="10"/>
        <v>0</v>
      </c>
      <c r="AQ39" s="160"/>
      <c r="AR39" s="160" t="str">
        <f t="shared" si="11"/>
        <v>-</v>
      </c>
      <c r="AS39" s="160" t="str">
        <f t="shared" si="4"/>
        <v>-</v>
      </c>
      <c r="AT39" s="169" t="str">
        <f t="shared" si="12"/>
        <v>-</v>
      </c>
      <c r="AU39" s="166" t="str">
        <f t="shared" si="13"/>
        <v>-</v>
      </c>
      <c r="AV39" s="121"/>
    </row>
    <row r="40" spans="1:48" s="14" customFormat="1" ht="23.25" thickBot="1">
      <c r="A40" s="45" t="s">
        <v>62</v>
      </c>
      <c r="B40" s="36" t="e">
        <f>B38/$D$39</f>
        <v>#DIV/0!</v>
      </c>
      <c r="C40" s="36" t="e">
        <f t="shared" ref="C40:AG40" si="18">C38/$D$39</f>
        <v>#DIV/0!</v>
      </c>
      <c r="D40" s="36" t="e">
        <f t="shared" si="18"/>
        <v>#DIV/0!</v>
      </c>
      <c r="E40" s="36" t="e">
        <f t="shared" si="18"/>
        <v>#DIV/0!</v>
      </c>
      <c r="F40" s="36" t="e">
        <f t="shared" si="18"/>
        <v>#DIV/0!</v>
      </c>
      <c r="G40" s="36" t="e">
        <f t="shared" si="18"/>
        <v>#DIV/0!</v>
      </c>
      <c r="H40" s="79" t="e">
        <f t="shared" si="18"/>
        <v>#DIV/0!</v>
      </c>
      <c r="I40" s="105" t="e">
        <f>I38/$D$39</f>
        <v>#DIV/0!</v>
      </c>
      <c r="J40" s="105" t="e">
        <f>J38/$D$39</f>
        <v>#DIV/0!</v>
      </c>
      <c r="K40" s="125" t="e">
        <f>K38/$D$39</f>
        <v>#DIV/0!</v>
      </c>
      <c r="L40" s="38" t="e">
        <f t="shared" si="18"/>
        <v>#DIV/0!</v>
      </c>
      <c r="M40" s="38" t="e">
        <f t="shared" si="18"/>
        <v>#DIV/0!</v>
      </c>
      <c r="N40" s="38" t="e">
        <f t="shared" si="18"/>
        <v>#DIV/0!</v>
      </c>
      <c r="O40" s="38" t="e">
        <f t="shared" si="18"/>
        <v>#DIV/0!</v>
      </c>
      <c r="P40" s="38" t="e">
        <f t="shared" si="18"/>
        <v>#DIV/0!</v>
      </c>
      <c r="Q40" s="38" t="e">
        <f t="shared" si="18"/>
        <v>#DIV/0!</v>
      </c>
      <c r="R40" s="38" t="e">
        <f t="shared" si="18"/>
        <v>#DIV/0!</v>
      </c>
      <c r="S40" s="38" t="e">
        <f t="shared" si="18"/>
        <v>#DIV/0!</v>
      </c>
      <c r="T40" s="38" t="e">
        <f t="shared" si="18"/>
        <v>#DIV/0!</v>
      </c>
      <c r="U40" s="38" t="e">
        <f t="shared" si="18"/>
        <v>#DIV/0!</v>
      </c>
      <c r="V40" s="38" t="e">
        <f t="shared" si="18"/>
        <v>#DIV/0!</v>
      </c>
      <c r="W40" s="38" t="e">
        <f t="shared" si="18"/>
        <v>#DIV/0!</v>
      </c>
      <c r="X40" s="38" t="e">
        <f t="shared" si="18"/>
        <v>#DIV/0!</v>
      </c>
      <c r="Y40" s="38" t="e">
        <f t="shared" si="18"/>
        <v>#DIV/0!</v>
      </c>
      <c r="Z40" s="38"/>
      <c r="AA40" s="132"/>
      <c r="AB40" s="38" t="e">
        <f t="shared" si="18"/>
        <v>#DIV/0!</v>
      </c>
      <c r="AC40" s="73" t="e">
        <f t="shared" si="18"/>
        <v>#DIV/0!</v>
      </c>
      <c r="AD40" s="38" t="e">
        <f t="shared" si="18"/>
        <v>#DIV/0!</v>
      </c>
      <c r="AE40" s="73" t="e">
        <f t="shared" si="18"/>
        <v>#DIV/0!</v>
      </c>
      <c r="AF40" s="73" t="e">
        <f t="shared" si="18"/>
        <v>#DIV/0!</v>
      </c>
      <c r="AG40" s="76" t="e">
        <f t="shared" si="18"/>
        <v>#DIV/0!</v>
      </c>
      <c r="AH40" s="158" t="e">
        <f t="shared" si="5"/>
        <v>#DIV/0!</v>
      </c>
      <c r="AI40" s="152" t="e">
        <f t="shared" si="17"/>
        <v>#DIV/0!</v>
      </c>
      <c r="AJ40" s="152" t="e">
        <f t="shared" si="17"/>
        <v>#DIV/0!</v>
      </c>
      <c r="AK40" s="152" t="e">
        <f t="shared" si="17"/>
        <v>#DIV/0!</v>
      </c>
      <c r="AL40" s="164" t="e">
        <f t="shared" si="0"/>
        <v>#DIV/0!</v>
      </c>
      <c r="AM40" s="146" t="e">
        <f t="shared" si="1"/>
        <v>#DIV/0!</v>
      </c>
      <c r="AN40" s="146" t="e">
        <f t="shared" si="2"/>
        <v>#DIV/0!</v>
      </c>
      <c r="AO40" s="146" t="e">
        <f t="shared" si="9"/>
        <v>#DIV/0!</v>
      </c>
      <c r="AP40" s="146" t="e">
        <f t="shared" si="10"/>
        <v>#DIV/0!</v>
      </c>
      <c r="AQ40" s="161"/>
      <c r="AR40" s="161" t="e">
        <f t="shared" si="11"/>
        <v>#DIV/0!</v>
      </c>
      <c r="AS40" s="161" t="e">
        <f t="shared" si="4"/>
        <v>#DIV/0!</v>
      </c>
      <c r="AT40" s="170" t="e">
        <f t="shared" si="12"/>
        <v>#DIV/0!</v>
      </c>
      <c r="AU40" s="167" t="e">
        <f t="shared" si="13"/>
        <v>#DIV/0!</v>
      </c>
      <c r="AV40" s="122"/>
    </row>
    <row r="41" spans="1:48" ht="17.25" customHeight="1">
      <c r="A41" s="41"/>
      <c r="B41" s="41"/>
      <c r="C41" s="41"/>
      <c r="D41" s="41"/>
      <c r="E41" s="41"/>
      <c r="F41" s="41"/>
      <c r="G41" s="41"/>
      <c r="H41" s="42"/>
      <c r="I41" s="42"/>
      <c r="J41" s="42"/>
      <c r="K41" s="42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</row>
  </sheetData>
  <protectedRanges>
    <protectedRange password="C423" sqref="C20:D21 D7:D19 D22:D29 C30:D30 D31:D37 H7:H37 I8:K37 L7:Z37 AB7:AG37" name="範圍1_1"/>
    <protectedRange password="C423" sqref="I7:K7" name="範圍1_1_1"/>
    <protectedRange password="C423" sqref="AA7:AA37" name="範圍1_1_2"/>
  </protectedRanges>
  <mergeCells count="19">
    <mergeCell ref="AI38:AI40"/>
    <mergeCell ref="AR38:AR40"/>
    <mergeCell ref="AQ38:AQ40"/>
    <mergeCell ref="K4:Y4"/>
    <mergeCell ref="A1:AR2"/>
    <mergeCell ref="AN38:AN40"/>
    <mergeCell ref="AO38:AO40"/>
    <mergeCell ref="AP38:AP40"/>
    <mergeCell ref="B3:AG3"/>
    <mergeCell ref="AH3:AU3"/>
    <mergeCell ref="AJ38:AJ40"/>
    <mergeCell ref="A3:A6"/>
    <mergeCell ref="AM38:AM40"/>
    <mergeCell ref="AH38:AH40"/>
    <mergeCell ref="AS38:AS40"/>
    <mergeCell ref="AK38:AK40"/>
    <mergeCell ref="AL38:AL40"/>
    <mergeCell ref="AU38:AU40"/>
    <mergeCell ref="AT38:AT40"/>
  </mergeCells>
  <phoneticPr fontId="9" type="noConversion"/>
  <conditionalFormatting sqref="AL7:AL37 AN7:AN37">
    <cfRule type="cellIs" priority="5" stopIfTrue="1" operator="greaterThan">
      <formula>1</formula>
    </cfRule>
    <cfRule type="cellIs" dxfId="2" priority="6" stopIfTrue="1" operator="greaterThan">
      <formula>1</formula>
    </cfRule>
    <cfRule type="cellIs" dxfId="1" priority="7" stopIfTrue="1" operator="greaterThan">
      <formula>1</formula>
    </cfRule>
    <cfRule type="cellIs" dxfId="0" priority="8" stopIfTrue="1" operator="greaterThan">
      <formula>1</formula>
    </cfRule>
  </conditionalFormatting>
  <printOptions horizontalCentered="1" verticalCentered="1"/>
  <pageMargins left="0" right="0" top="0" bottom="0" header="0" footer="0"/>
  <pageSetup paperSize="8" scale="45" orientation="landscape" r:id="rId1"/>
  <ignoredErrors>
    <ignoredError sqref="B39:I40 AB38:AG40 B38:H38 L38:Y40" emptyCellReferenc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0"/>
  <sheetViews>
    <sheetView tabSelected="1" topLeftCell="C16" workbookViewId="0">
      <selection activeCell="C3" sqref="C3"/>
    </sheetView>
  </sheetViews>
  <sheetFormatPr defaultRowHeight="12.75"/>
  <cols>
    <col min="2" max="2" width="13.85546875" customWidth="1"/>
    <col min="3" max="4" width="12.28515625" customWidth="1"/>
    <col min="5" max="5" width="14.28515625" bestFit="1" customWidth="1"/>
    <col min="6" max="12" width="15" bestFit="1" customWidth="1"/>
    <col min="13" max="13" width="17.140625" bestFit="1" customWidth="1"/>
    <col min="14" max="15" width="15" bestFit="1" customWidth="1"/>
    <col min="16" max="31" width="15.140625" bestFit="1" customWidth="1"/>
    <col min="32" max="32" width="13.42578125" customWidth="1"/>
    <col min="33" max="33" width="15.140625" bestFit="1" customWidth="1"/>
    <col min="34" max="34" width="11" bestFit="1" customWidth="1"/>
  </cols>
  <sheetData>
    <row r="1" spans="1:34" ht="64.5" customHeight="1">
      <c r="A1" s="172"/>
      <c r="B1" s="173"/>
      <c r="C1" s="133">
        <v>1</v>
      </c>
      <c r="D1" s="133">
        <v>2</v>
      </c>
      <c r="E1" s="133">
        <v>3</v>
      </c>
      <c r="F1" s="133">
        <v>4</v>
      </c>
      <c r="G1" s="133">
        <v>5</v>
      </c>
      <c r="H1" s="133">
        <v>6</v>
      </c>
      <c r="I1" s="133">
        <v>7</v>
      </c>
      <c r="J1" s="133">
        <v>8</v>
      </c>
      <c r="K1" s="133">
        <v>9</v>
      </c>
      <c r="L1" s="133">
        <v>10</v>
      </c>
      <c r="M1" s="133">
        <v>11</v>
      </c>
      <c r="N1" s="133">
        <v>12</v>
      </c>
      <c r="O1" s="133">
        <v>13</v>
      </c>
      <c r="P1" s="133">
        <v>14</v>
      </c>
      <c r="Q1" s="133">
        <v>15</v>
      </c>
      <c r="R1" s="133">
        <v>16</v>
      </c>
      <c r="S1" s="133">
        <v>17</v>
      </c>
      <c r="T1" s="133">
        <v>18</v>
      </c>
      <c r="U1" s="133">
        <v>19</v>
      </c>
      <c r="V1" s="133">
        <v>20</v>
      </c>
      <c r="W1" s="133">
        <v>21</v>
      </c>
      <c r="X1" s="133">
        <v>22</v>
      </c>
      <c r="Y1" s="133">
        <v>23</v>
      </c>
      <c r="Z1" s="133">
        <v>24</v>
      </c>
      <c r="AA1" s="133">
        <v>25</v>
      </c>
      <c r="AB1" s="133">
        <v>26</v>
      </c>
      <c r="AC1" s="133">
        <v>27</v>
      </c>
      <c r="AD1" s="133">
        <v>28</v>
      </c>
      <c r="AE1" s="133">
        <v>29</v>
      </c>
      <c r="AF1" s="133">
        <v>30</v>
      </c>
      <c r="AG1" s="133">
        <v>31</v>
      </c>
      <c r="AH1" s="133" t="s">
        <v>105</v>
      </c>
    </row>
    <row r="2" spans="1:34" ht="24.95" customHeight="1">
      <c r="A2" s="174" t="s">
        <v>106</v>
      </c>
      <c r="B2" s="174"/>
      <c r="C2" s="134">
        <f>OEE总综合效率表!E7</f>
        <v>0</v>
      </c>
      <c r="D2" s="134">
        <f>OEE总综合效率表!E8</f>
        <v>0</v>
      </c>
      <c r="E2" s="134">
        <f>OEE总综合效率表!E9</f>
        <v>0</v>
      </c>
      <c r="F2" s="134">
        <f>OEE总综合效率表!E10</f>
        <v>0</v>
      </c>
      <c r="G2" s="134">
        <f>OEE总综合效率表!E11</f>
        <v>0</v>
      </c>
      <c r="H2" s="134">
        <f>OEE总综合效率表!E12</f>
        <v>0</v>
      </c>
      <c r="I2" s="134">
        <f>OEE总综合效率表!E13</f>
        <v>0</v>
      </c>
      <c r="J2" s="134">
        <f>OEE总综合效率表!E14</f>
        <v>0</v>
      </c>
      <c r="K2" s="134">
        <f>OEE总综合效率表!E15</f>
        <v>0</v>
      </c>
      <c r="L2" s="134">
        <f>OEE总综合效率表!E16</f>
        <v>0</v>
      </c>
      <c r="M2" s="134">
        <f>OEE总综合效率表!E17</f>
        <v>0</v>
      </c>
      <c r="N2" s="134">
        <f>OEE总综合效率表!E18</f>
        <v>0</v>
      </c>
      <c r="O2" s="134">
        <f>OEE总综合效率表!E19</f>
        <v>0</v>
      </c>
      <c r="P2" s="134">
        <f>OEE总综合效率表!E20</f>
        <v>0</v>
      </c>
      <c r="Q2" s="134">
        <f>OEE总综合效率表!E21</f>
        <v>0</v>
      </c>
      <c r="R2" s="134">
        <f>OEE总综合效率表!E22</f>
        <v>0</v>
      </c>
      <c r="S2" s="134">
        <f>OEE总综合效率表!E23</f>
        <v>0</v>
      </c>
      <c r="T2" s="134">
        <f>OEE总综合效率表!E24</f>
        <v>0</v>
      </c>
      <c r="U2" s="134">
        <f>OEE总综合效率表!E25</f>
        <v>0</v>
      </c>
      <c r="V2" s="134">
        <f>OEE总综合效率表!E26</f>
        <v>0</v>
      </c>
      <c r="W2" s="134">
        <f>OEE总综合效率表!E27</f>
        <v>0</v>
      </c>
      <c r="X2" s="134">
        <f>OEE总综合效率表!E28</f>
        <v>0</v>
      </c>
      <c r="Y2" s="134">
        <f>OEE总综合效率表!E29</f>
        <v>0</v>
      </c>
      <c r="Z2" s="134">
        <f>OEE总综合效率表!E30</f>
        <v>0</v>
      </c>
      <c r="AA2" s="134">
        <f>OEE总综合效率表!E31</f>
        <v>0</v>
      </c>
      <c r="AB2" s="134">
        <f>OEE总综合效率表!E32</f>
        <v>0</v>
      </c>
      <c r="AC2" s="134">
        <f>OEE总综合效率表!E33</f>
        <v>0</v>
      </c>
      <c r="AD2" s="134">
        <f>OEE总综合效率表!E34</f>
        <v>0</v>
      </c>
      <c r="AE2" s="134">
        <f>OEE总综合效率表!E35</f>
        <v>0</v>
      </c>
      <c r="AF2" s="134">
        <f>OEE总综合效率表!E36</f>
        <v>0</v>
      </c>
      <c r="AG2" s="134">
        <f>OEE总综合效率表!E37</f>
        <v>0</v>
      </c>
      <c r="AH2" s="135">
        <f>SUM(C2:AG2)</f>
        <v>0</v>
      </c>
    </row>
    <row r="3" spans="1:34" ht="24.95" customHeight="1">
      <c r="A3" s="174" t="s">
        <v>107</v>
      </c>
      <c r="B3" s="174"/>
      <c r="C3" s="134">
        <f>OEE总综合效率表!AI7</f>
        <v>0</v>
      </c>
      <c r="D3" s="134">
        <f>OEE总综合效率表!AI8</f>
        <v>0</v>
      </c>
      <c r="E3" s="134">
        <f>OEE总综合效率表!AI9</f>
        <v>0</v>
      </c>
      <c r="F3" s="134">
        <f>OEE总综合效率表!AI10</f>
        <v>0</v>
      </c>
      <c r="G3" s="134">
        <f>OEE总综合效率表!AI11</f>
        <v>0</v>
      </c>
      <c r="H3" s="134">
        <f>OEE总综合效率表!AI12</f>
        <v>0</v>
      </c>
      <c r="I3" s="134">
        <f>OEE总综合效率表!AI13</f>
        <v>0</v>
      </c>
      <c r="J3" s="134">
        <f>OEE总综合效率表!AI14</f>
        <v>0</v>
      </c>
      <c r="K3" s="134">
        <f>OEE总综合效率表!AI15</f>
        <v>0</v>
      </c>
      <c r="L3" s="134">
        <f>OEE总综合效率表!AI16</f>
        <v>0</v>
      </c>
      <c r="M3" s="134">
        <f>OEE总综合效率表!AI17</f>
        <v>0</v>
      </c>
      <c r="N3" s="134">
        <f>OEE总综合效率表!AI18</f>
        <v>0</v>
      </c>
      <c r="O3" s="134">
        <f>OEE总综合效率表!AI19</f>
        <v>0</v>
      </c>
      <c r="P3" s="134">
        <f>OEE总综合效率表!AI20</f>
        <v>0</v>
      </c>
      <c r="Q3" s="134">
        <f>OEE总综合效率表!AI21</f>
        <v>0</v>
      </c>
      <c r="R3" s="134">
        <f>OEE总综合效率表!AI22</f>
        <v>0</v>
      </c>
      <c r="S3" s="134">
        <f>OEE总综合效率表!AI23</f>
        <v>0</v>
      </c>
      <c r="T3" s="134">
        <f>OEE总综合效率表!AI24</f>
        <v>0</v>
      </c>
      <c r="U3" s="134">
        <f>OEE总综合效率表!AI25</f>
        <v>0</v>
      </c>
      <c r="V3" s="134">
        <f>OEE总综合效率表!AI26</f>
        <v>0</v>
      </c>
      <c r="W3" s="134">
        <f>OEE总综合效率表!AI27</f>
        <v>0</v>
      </c>
      <c r="X3" s="134">
        <f>OEE总综合效率表!AI28</f>
        <v>0</v>
      </c>
      <c r="Y3" s="134">
        <f>OEE总综合效率表!AI29</f>
        <v>0</v>
      </c>
      <c r="Z3" s="134">
        <f>OEE总综合效率表!AI30</f>
        <v>0</v>
      </c>
      <c r="AA3" s="134">
        <f>OEE总综合效率表!AI31</f>
        <v>0</v>
      </c>
      <c r="AB3" s="134">
        <f>OEE总综合效率表!AI32</f>
        <v>0</v>
      </c>
      <c r="AC3" s="134">
        <f>OEE总综合效率表!AI33</f>
        <v>0</v>
      </c>
      <c r="AD3" s="134">
        <f>OEE总综合效率表!AI34</f>
        <v>0</v>
      </c>
      <c r="AE3" s="134">
        <f>OEE总综合效率表!AI35</f>
        <v>0</v>
      </c>
      <c r="AF3" s="134">
        <f>OEE总综合效率表!AI36</f>
        <v>0</v>
      </c>
      <c r="AG3" s="134">
        <f>OEE总综合效率表!AI37</f>
        <v>0</v>
      </c>
      <c r="AH3" s="135">
        <f>SUM(C3:AG3)</f>
        <v>0</v>
      </c>
    </row>
    <row r="4" spans="1:34" ht="24.95" customHeight="1">
      <c r="A4" s="175" t="s">
        <v>108</v>
      </c>
      <c r="B4" s="175"/>
      <c r="C4" s="136">
        <f>OEE总综合效率表!AJ7</f>
        <v>0</v>
      </c>
      <c r="D4" s="136">
        <f>OEE总综合效率表!AJ8</f>
        <v>0</v>
      </c>
      <c r="E4" s="137">
        <f>OEE总综合效率表!AJ9</f>
        <v>0</v>
      </c>
      <c r="F4" s="137">
        <f>OEE总综合效率表!AJ10</f>
        <v>0</v>
      </c>
      <c r="G4" s="137">
        <f>OEE总综合效率表!AJ11</f>
        <v>0</v>
      </c>
      <c r="H4" s="137">
        <f>OEE总综合效率表!AJ12</f>
        <v>0</v>
      </c>
      <c r="I4" s="137">
        <f>OEE总综合效率表!AJ13</f>
        <v>0</v>
      </c>
      <c r="J4" s="137">
        <f>OEE总综合效率表!AJ14</f>
        <v>0</v>
      </c>
      <c r="K4" s="137">
        <f>OEE总综合效率表!AJ15</f>
        <v>0</v>
      </c>
      <c r="L4" s="137">
        <f>OEE总综合效率表!AJ16</f>
        <v>0</v>
      </c>
      <c r="M4" s="137">
        <f>OEE总综合效率表!AJ17</f>
        <v>0</v>
      </c>
      <c r="N4" s="137">
        <f>OEE总综合效率表!AJ18</f>
        <v>0</v>
      </c>
      <c r="O4" s="137">
        <f>OEE总综合效率表!AJ19</f>
        <v>0</v>
      </c>
      <c r="P4" s="138">
        <f>OEE总综合效率表!AJ20</f>
        <v>0</v>
      </c>
      <c r="Q4" s="138">
        <f>OEE总综合效率表!AJ21</f>
        <v>0</v>
      </c>
      <c r="R4" s="138">
        <f>OEE总综合效率表!AJ22</f>
        <v>0</v>
      </c>
      <c r="S4" s="138">
        <f>OEE总综合效率表!AJ23</f>
        <v>0</v>
      </c>
      <c r="T4" s="138">
        <f>OEE总综合效率表!AJ24</f>
        <v>0</v>
      </c>
      <c r="U4" s="138">
        <f>OEE总综合效率表!AJ25</f>
        <v>0</v>
      </c>
      <c r="V4" s="138">
        <f>OEE总综合效率表!AJ26</f>
        <v>0</v>
      </c>
      <c r="W4" s="138">
        <f>OEE总综合效率表!AJ27</f>
        <v>0</v>
      </c>
      <c r="X4" s="138">
        <f>OEE总综合效率表!AJ28</f>
        <v>0</v>
      </c>
      <c r="Y4" s="138">
        <f>OEE总综合效率表!AJ29</f>
        <v>0</v>
      </c>
      <c r="Z4" s="138">
        <f>OEE总综合效率表!AJ30</f>
        <v>0</v>
      </c>
      <c r="AA4" s="138">
        <f>OEE总综合效率表!AJ31</f>
        <v>0</v>
      </c>
      <c r="AB4" s="138">
        <f>OEE总综合效率表!AJ32</f>
        <v>0</v>
      </c>
      <c r="AC4" s="138">
        <f>OEE总综合效率表!AJ33</f>
        <v>0</v>
      </c>
      <c r="AD4" s="138">
        <f>OEE总综合效率表!AJ34</f>
        <v>0</v>
      </c>
      <c r="AE4" s="138">
        <f>OEE总综合效率表!AJ35</f>
        <v>0</v>
      </c>
      <c r="AF4" s="138">
        <f>OEE总综合效率表!AJ36</f>
        <v>0</v>
      </c>
      <c r="AG4" s="138">
        <f>OEE总综合效率表!AJ37</f>
        <v>0</v>
      </c>
      <c r="AH4" s="135">
        <f>SUM(C4:AG4)</f>
        <v>0</v>
      </c>
    </row>
    <row r="5" spans="1:34" ht="24.95" customHeight="1">
      <c r="A5" s="176" t="s">
        <v>36</v>
      </c>
      <c r="B5" s="176"/>
      <c r="C5" s="136">
        <f>OEE总综合效率表!D7</f>
        <v>0</v>
      </c>
      <c r="D5" s="137">
        <f>OEE总综合效率表!D8</f>
        <v>0</v>
      </c>
      <c r="E5" s="137">
        <f>OEE总综合效率表!D9</f>
        <v>0</v>
      </c>
      <c r="F5" s="137">
        <f>OEE总综合效率表!D10</f>
        <v>0</v>
      </c>
      <c r="G5" s="137">
        <f>OEE总综合效率表!D11</f>
        <v>0</v>
      </c>
      <c r="H5" s="137">
        <f>OEE总综合效率表!D12</f>
        <v>0</v>
      </c>
      <c r="I5" s="137">
        <f>OEE总综合效率表!D13</f>
        <v>0</v>
      </c>
      <c r="J5" s="137">
        <f>OEE总综合效率表!D14</f>
        <v>0</v>
      </c>
      <c r="K5" s="137">
        <f>OEE总综合效率表!D15</f>
        <v>0</v>
      </c>
      <c r="L5" s="137">
        <f>OEE总综合效率表!D16</f>
        <v>0</v>
      </c>
      <c r="M5" s="137">
        <f>OEE总综合效率表!D17</f>
        <v>0</v>
      </c>
      <c r="N5" s="137">
        <f>OEE总综合效率表!D18</f>
        <v>0</v>
      </c>
      <c r="O5" s="137">
        <f>OEE总综合效率表!D19</f>
        <v>0</v>
      </c>
      <c r="P5" s="137">
        <f>OEE总综合效率表!D20</f>
        <v>0</v>
      </c>
      <c r="Q5" s="137">
        <f>OEE总综合效率表!D21</f>
        <v>0</v>
      </c>
      <c r="R5" s="137">
        <f>OEE总综合效率表!D22</f>
        <v>0</v>
      </c>
      <c r="S5" s="137">
        <f>OEE总综合效率表!D23</f>
        <v>0</v>
      </c>
      <c r="T5" s="137">
        <f>OEE总综合效率表!D24</f>
        <v>0</v>
      </c>
      <c r="U5" s="137">
        <f>OEE总综合效率表!D25</f>
        <v>0</v>
      </c>
      <c r="V5" s="137">
        <f>OEE总综合效率表!D26</f>
        <v>0</v>
      </c>
      <c r="W5" s="137">
        <f>OEE总综合效率表!D27</f>
        <v>0</v>
      </c>
      <c r="X5" s="137">
        <f>OEE总综合效率表!D28</f>
        <v>0</v>
      </c>
      <c r="Y5" s="137">
        <f>OEE总综合效率表!D29</f>
        <v>0</v>
      </c>
      <c r="Z5" s="137">
        <f>OEE总综合效率表!D30</f>
        <v>0</v>
      </c>
      <c r="AA5" s="137">
        <f>OEE总综合效率表!D31</f>
        <v>0</v>
      </c>
      <c r="AB5" s="137">
        <f>OEE总综合效率表!D32</f>
        <v>0</v>
      </c>
      <c r="AC5" s="137">
        <f>OEE总综合效率表!D33</f>
        <v>0</v>
      </c>
      <c r="AD5" s="137">
        <f>OEE总综合效率表!D34</f>
        <v>0</v>
      </c>
      <c r="AE5" s="137">
        <f>OEE总综合效率表!D35</f>
        <v>0</v>
      </c>
      <c r="AF5" s="137">
        <f>OEE总综合效率表!D36</f>
        <v>0</v>
      </c>
      <c r="AG5" s="137">
        <f>OEE总综合效率表!D37</f>
        <v>0</v>
      </c>
      <c r="AH5" s="135">
        <f>SUM(C5:AG5)</f>
        <v>0</v>
      </c>
    </row>
    <row r="6" spans="1:34" ht="24.95" customHeight="1">
      <c r="A6" s="176" t="s">
        <v>38</v>
      </c>
      <c r="B6" s="176"/>
      <c r="C6" s="136">
        <f>OEE总综合效率表!F7</f>
        <v>0</v>
      </c>
      <c r="D6" s="137">
        <f>OEE总综合效率表!F8</f>
        <v>0</v>
      </c>
      <c r="E6" s="137">
        <f>OEE总综合效率表!F9</f>
        <v>0</v>
      </c>
      <c r="F6" s="137">
        <f>OEE总综合效率表!F10</f>
        <v>0</v>
      </c>
      <c r="G6" s="137">
        <f>OEE总综合效率表!F11</f>
        <v>0</v>
      </c>
      <c r="H6" s="137">
        <f>OEE总综合效率表!F12</f>
        <v>0</v>
      </c>
      <c r="I6" s="137">
        <f>OEE总综合效率表!F13</f>
        <v>0</v>
      </c>
      <c r="J6" s="137">
        <f>OEE总综合效率表!F14</f>
        <v>0</v>
      </c>
      <c r="K6" s="137">
        <f>OEE总综合效率表!F15</f>
        <v>0</v>
      </c>
      <c r="L6" s="137">
        <f>OEE总综合效率表!F16</f>
        <v>0</v>
      </c>
      <c r="M6" s="137">
        <f>OEE总综合效率表!F17</f>
        <v>0</v>
      </c>
      <c r="N6" s="137">
        <f>OEE总综合效率表!F18</f>
        <v>0</v>
      </c>
      <c r="O6" s="137">
        <f>OEE总综合效率表!F19</f>
        <v>0</v>
      </c>
      <c r="P6" s="137">
        <f>OEE总综合效率表!F20</f>
        <v>0</v>
      </c>
      <c r="Q6" s="137">
        <f>OEE总综合效率表!F21</f>
        <v>0</v>
      </c>
      <c r="R6" s="137">
        <f>OEE总综合效率表!F22</f>
        <v>0</v>
      </c>
      <c r="S6" s="137">
        <f>OEE总综合效率表!F23</f>
        <v>0</v>
      </c>
      <c r="T6" s="137">
        <f>OEE总综合效率表!F24</f>
        <v>0</v>
      </c>
      <c r="U6" s="137">
        <f>OEE总综合效率表!F25</f>
        <v>0</v>
      </c>
      <c r="V6" s="137">
        <f>OEE总综合效率表!F26</f>
        <v>0</v>
      </c>
      <c r="W6" s="137">
        <f>OEE总综合效率表!F27</f>
        <v>0</v>
      </c>
      <c r="X6" s="137">
        <f>OEE总综合效率表!F28</f>
        <v>0</v>
      </c>
      <c r="Y6" s="137">
        <f>OEE总综合效率表!F29</f>
        <v>0</v>
      </c>
      <c r="Z6" s="137">
        <f>OEE总综合效率表!F30</f>
        <v>0</v>
      </c>
      <c r="AA6" s="137">
        <f>OEE总综合效率表!F31</f>
        <v>0</v>
      </c>
      <c r="AB6" s="137">
        <f>OEE总综合效率表!F32</f>
        <v>0</v>
      </c>
      <c r="AC6" s="137">
        <f>OEE总综合效率表!F33</f>
        <v>0</v>
      </c>
      <c r="AD6" s="137">
        <f>OEE总综合效率表!F34</f>
        <v>0</v>
      </c>
      <c r="AE6" s="137">
        <f>OEE总综合效率表!F35</f>
        <v>0</v>
      </c>
      <c r="AF6" s="137">
        <f>OEE总综合效率表!F36</f>
        <v>0</v>
      </c>
      <c r="AG6" s="137">
        <f>OEE总综合效率表!F37</f>
        <v>0</v>
      </c>
      <c r="AH6" s="135">
        <f>SUM(C6:AG6)</f>
        <v>0</v>
      </c>
    </row>
    <row r="7" spans="1:34" ht="24.95" customHeight="1">
      <c r="A7" s="171" t="s">
        <v>109</v>
      </c>
      <c r="B7" s="171"/>
      <c r="C7" s="139" t="str">
        <f>IF(C5=0,"0%",(C5-C6)/C5)</f>
        <v>0%</v>
      </c>
      <c r="D7" s="139" t="str">
        <f t="shared" ref="D7:AG7" si="0">IF(D5=0,"0%",(D5-D6)/D5)</f>
        <v>0%</v>
      </c>
      <c r="E7" s="139" t="str">
        <f t="shared" si="0"/>
        <v>0%</v>
      </c>
      <c r="F7" s="139" t="str">
        <f t="shared" si="0"/>
        <v>0%</v>
      </c>
      <c r="G7" s="139" t="str">
        <f t="shared" si="0"/>
        <v>0%</v>
      </c>
      <c r="H7" s="139" t="str">
        <f t="shared" si="0"/>
        <v>0%</v>
      </c>
      <c r="I7" s="139" t="str">
        <f t="shared" si="0"/>
        <v>0%</v>
      </c>
      <c r="J7" s="139" t="str">
        <f t="shared" si="0"/>
        <v>0%</v>
      </c>
      <c r="K7" s="139" t="str">
        <f t="shared" si="0"/>
        <v>0%</v>
      </c>
      <c r="L7" s="139" t="str">
        <f t="shared" si="0"/>
        <v>0%</v>
      </c>
      <c r="M7" s="139" t="str">
        <f t="shared" si="0"/>
        <v>0%</v>
      </c>
      <c r="N7" s="139" t="str">
        <f t="shared" si="0"/>
        <v>0%</v>
      </c>
      <c r="O7" s="139" t="str">
        <f t="shared" si="0"/>
        <v>0%</v>
      </c>
      <c r="P7" s="139" t="str">
        <f t="shared" si="0"/>
        <v>0%</v>
      </c>
      <c r="Q7" s="139" t="str">
        <f t="shared" si="0"/>
        <v>0%</v>
      </c>
      <c r="R7" s="139" t="str">
        <f t="shared" si="0"/>
        <v>0%</v>
      </c>
      <c r="S7" s="139" t="str">
        <f t="shared" si="0"/>
        <v>0%</v>
      </c>
      <c r="T7" s="139" t="str">
        <f t="shared" si="0"/>
        <v>0%</v>
      </c>
      <c r="U7" s="139" t="str">
        <f t="shared" si="0"/>
        <v>0%</v>
      </c>
      <c r="V7" s="139" t="str">
        <f t="shared" si="0"/>
        <v>0%</v>
      </c>
      <c r="W7" s="139" t="str">
        <f t="shared" si="0"/>
        <v>0%</v>
      </c>
      <c r="X7" s="139" t="str">
        <f t="shared" si="0"/>
        <v>0%</v>
      </c>
      <c r="Y7" s="139" t="str">
        <f t="shared" si="0"/>
        <v>0%</v>
      </c>
      <c r="Z7" s="139" t="str">
        <f t="shared" si="0"/>
        <v>0%</v>
      </c>
      <c r="AA7" s="139" t="str">
        <f t="shared" si="0"/>
        <v>0%</v>
      </c>
      <c r="AB7" s="139" t="str">
        <f t="shared" si="0"/>
        <v>0%</v>
      </c>
      <c r="AC7" s="139" t="str">
        <f t="shared" si="0"/>
        <v>0%</v>
      </c>
      <c r="AD7" s="139" t="str">
        <f t="shared" si="0"/>
        <v>0%</v>
      </c>
      <c r="AE7" s="139" t="str">
        <f t="shared" si="0"/>
        <v>0%</v>
      </c>
      <c r="AF7" s="139" t="str">
        <f t="shared" si="0"/>
        <v>0%</v>
      </c>
      <c r="AG7" s="139" t="str">
        <f t="shared" si="0"/>
        <v>0%</v>
      </c>
      <c r="AH7" s="139" t="e">
        <f>(AH5-AH6)/AH5</f>
        <v>#DIV/0!</v>
      </c>
    </row>
    <row r="8" spans="1:34" ht="24.95" customHeight="1">
      <c r="A8" s="171" t="s">
        <v>110</v>
      </c>
      <c r="B8" s="171"/>
      <c r="C8" s="139" t="str">
        <f>IF(C2=0,"0%",C2/C4)</f>
        <v>0%</v>
      </c>
      <c r="D8" s="139" t="str">
        <f t="shared" ref="D8:AG8" si="1">IF(D2=0,"0%",D2/D4)</f>
        <v>0%</v>
      </c>
      <c r="E8" s="139" t="str">
        <f t="shared" si="1"/>
        <v>0%</v>
      </c>
      <c r="F8" s="139" t="str">
        <f t="shared" si="1"/>
        <v>0%</v>
      </c>
      <c r="G8" s="139" t="str">
        <f t="shared" si="1"/>
        <v>0%</v>
      </c>
      <c r="H8" s="139" t="str">
        <f t="shared" si="1"/>
        <v>0%</v>
      </c>
      <c r="I8" s="139" t="str">
        <f t="shared" si="1"/>
        <v>0%</v>
      </c>
      <c r="J8" s="139" t="str">
        <f t="shared" si="1"/>
        <v>0%</v>
      </c>
      <c r="K8" s="139" t="str">
        <f t="shared" si="1"/>
        <v>0%</v>
      </c>
      <c r="L8" s="139" t="str">
        <f t="shared" si="1"/>
        <v>0%</v>
      </c>
      <c r="M8" s="139" t="str">
        <f t="shared" si="1"/>
        <v>0%</v>
      </c>
      <c r="N8" s="139" t="str">
        <f t="shared" si="1"/>
        <v>0%</v>
      </c>
      <c r="O8" s="139" t="str">
        <f t="shared" si="1"/>
        <v>0%</v>
      </c>
      <c r="P8" s="139" t="str">
        <f t="shared" si="1"/>
        <v>0%</v>
      </c>
      <c r="Q8" s="139" t="str">
        <f t="shared" si="1"/>
        <v>0%</v>
      </c>
      <c r="R8" s="139" t="str">
        <f t="shared" si="1"/>
        <v>0%</v>
      </c>
      <c r="S8" s="139" t="str">
        <f t="shared" si="1"/>
        <v>0%</v>
      </c>
      <c r="T8" s="139" t="str">
        <f t="shared" si="1"/>
        <v>0%</v>
      </c>
      <c r="U8" s="139" t="str">
        <f t="shared" si="1"/>
        <v>0%</v>
      </c>
      <c r="V8" s="139" t="str">
        <f t="shared" si="1"/>
        <v>0%</v>
      </c>
      <c r="W8" s="139" t="str">
        <f t="shared" si="1"/>
        <v>0%</v>
      </c>
      <c r="X8" s="139" t="str">
        <f t="shared" si="1"/>
        <v>0%</v>
      </c>
      <c r="Y8" s="139" t="str">
        <f t="shared" si="1"/>
        <v>0%</v>
      </c>
      <c r="Z8" s="139" t="str">
        <f t="shared" si="1"/>
        <v>0%</v>
      </c>
      <c r="AA8" s="139" t="str">
        <f t="shared" si="1"/>
        <v>0%</v>
      </c>
      <c r="AB8" s="139" t="str">
        <f t="shared" si="1"/>
        <v>0%</v>
      </c>
      <c r="AC8" s="139" t="str">
        <f t="shared" si="1"/>
        <v>0%</v>
      </c>
      <c r="AD8" s="139" t="str">
        <f t="shared" si="1"/>
        <v>0%</v>
      </c>
      <c r="AE8" s="139" t="str">
        <f t="shared" si="1"/>
        <v>0%</v>
      </c>
      <c r="AF8" s="139" t="str">
        <f t="shared" si="1"/>
        <v>0%</v>
      </c>
      <c r="AG8" s="139" t="str">
        <f t="shared" si="1"/>
        <v>0%</v>
      </c>
      <c r="AH8" s="139" t="e">
        <f>AH2/AH4</f>
        <v>#DIV/0!</v>
      </c>
    </row>
    <row r="9" spans="1:34" ht="24.95" customHeight="1">
      <c r="A9" s="171" t="s">
        <v>111</v>
      </c>
      <c r="B9" s="171"/>
      <c r="C9" s="139" t="str">
        <f>IF(C3=0,"0%",C4/C3)</f>
        <v>0%</v>
      </c>
      <c r="D9" s="139" t="str">
        <f t="shared" ref="D9:AG9" si="2">IF(D3=0,"0%",D4/D3)</f>
        <v>0%</v>
      </c>
      <c r="E9" s="139" t="str">
        <f t="shared" si="2"/>
        <v>0%</v>
      </c>
      <c r="F9" s="139" t="str">
        <f t="shared" si="2"/>
        <v>0%</v>
      </c>
      <c r="G9" s="139" t="str">
        <f t="shared" si="2"/>
        <v>0%</v>
      </c>
      <c r="H9" s="139" t="str">
        <f t="shared" si="2"/>
        <v>0%</v>
      </c>
      <c r="I9" s="139" t="str">
        <f t="shared" si="2"/>
        <v>0%</v>
      </c>
      <c r="J9" s="139" t="str">
        <f t="shared" si="2"/>
        <v>0%</v>
      </c>
      <c r="K9" s="139" t="str">
        <f t="shared" si="2"/>
        <v>0%</v>
      </c>
      <c r="L9" s="139" t="str">
        <f t="shared" si="2"/>
        <v>0%</v>
      </c>
      <c r="M9" s="139" t="str">
        <f t="shared" si="2"/>
        <v>0%</v>
      </c>
      <c r="N9" s="139" t="str">
        <f t="shared" si="2"/>
        <v>0%</v>
      </c>
      <c r="O9" s="139" t="str">
        <f t="shared" si="2"/>
        <v>0%</v>
      </c>
      <c r="P9" s="139" t="str">
        <f t="shared" si="2"/>
        <v>0%</v>
      </c>
      <c r="Q9" s="139" t="str">
        <f t="shared" si="2"/>
        <v>0%</v>
      </c>
      <c r="R9" s="139" t="str">
        <f t="shared" si="2"/>
        <v>0%</v>
      </c>
      <c r="S9" s="139" t="str">
        <f t="shared" si="2"/>
        <v>0%</v>
      </c>
      <c r="T9" s="139" t="str">
        <f t="shared" si="2"/>
        <v>0%</v>
      </c>
      <c r="U9" s="139" t="str">
        <f t="shared" si="2"/>
        <v>0%</v>
      </c>
      <c r="V9" s="139" t="str">
        <f t="shared" si="2"/>
        <v>0%</v>
      </c>
      <c r="W9" s="139" t="str">
        <f t="shared" si="2"/>
        <v>0%</v>
      </c>
      <c r="X9" s="139" t="str">
        <f t="shared" si="2"/>
        <v>0%</v>
      </c>
      <c r="Y9" s="139" t="str">
        <f t="shared" si="2"/>
        <v>0%</v>
      </c>
      <c r="Z9" s="139" t="str">
        <f t="shared" si="2"/>
        <v>0%</v>
      </c>
      <c r="AA9" s="139" t="str">
        <f t="shared" si="2"/>
        <v>0%</v>
      </c>
      <c r="AB9" s="139" t="str">
        <f t="shared" si="2"/>
        <v>0%</v>
      </c>
      <c r="AC9" s="139" t="str">
        <f t="shared" si="2"/>
        <v>0%</v>
      </c>
      <c r="AD9" s="139" t="str">
        <f t="shared" si="2"/>
        <v>0%</v>
      </c>
      <c r="AE9" s="139" t="str">
        <f t="shared" si="2"/>
        <v>0%</v>
      </c>
      <c r="AF9" s="139" t="str">
        <f t="shared" si="2"/>
        <v>0%</v>
      </c>
      <c r="AG9" s="139" t="str">
        <f t="shared" si="2"/>
        <v>0%</v>
      </c>
      <c r="AH9" s="139" t="e">
        <f>AH4/AH3</f>
        <v>#DIV/0!</v>
      </c>
    </row>
    <row r="10" spans="1:34" ht="24.95" customHeight="1">
      <c r="A10" s="171" t="s">
        <v>112</v>
      </c>
      <c r="B10" s="171"/>
      <c r="C10" s="139">
        <f>C7*C8*C9</f>
        <v>0</v>
      </c>
      <c r="D10" s="139">
        <f t="shared" ref="D10:AH10" si="3">D7*D8*D9</f>
        <v>0</v>
      </c>
      <c r="E10" s="139">
        <f t="shared" si="3"/>
        <v>0</v>
      </c>
      <c r="F10" s="139">
        <f t="shared" si="3"/>
        <v>0</v>
      </c>
      <c r="G10" s="139">
        <f t="shared" si="3"/>
        <v>0</v>
      </c>
      <c r="H10" s="139">
        <f t="shared" si="3"/>
        <v>0</v>
      </c>
      <c r="I10" s="139">
        <f t="shared" si="3"/>
        <v>0</v>
      </c>
      <c r="J10" s="139">
        <f t="shared" si="3"/>
        <v>0</v>
      </c>
      <c r="K10" s="139">
        <f t="shared" si="3"/>
        <v>0</v>
      </c>
      <c r="L10" s="139">
        <f t="shared" si="3"/>
        <v>0</v>
      </c>
      <c r="M10" s="139">
        <f t="shared" si="3"/>
        <v>0</v>
      </c>
      <c r="N10" s="139">
        <f t="shared" si="3"/>
        <v>0</v>
      </c>
      <c r="O10" s="139">
        <f t="shared" si="3"/>
        <v>0</v>
      </c>
      <c r="P10" s="139">
        <f t="shared" si="3"/>
        <v>0</v>
      </c>
      <c r="Q10" s="139">
        <f t="shared" si="3"/>
        <v>0</v>
      </c>
      <c r="R10" s="139">
        <f t="shared" si="3"/>
        <v>0</v>
      </c>
      <c r="S10" s="139">
        <f t="shared" si="3"/>
        <v>0</v>
      </c>
      <c r="T10" s="139">
        <f t="shared" si="3"/>
        <v>0</v>
      </c>
      <c r="U10" s="139">
        <f t="shared" si="3"/>
        <v>0</v>
      </c>
      <c r="V10" s="139">
        <f t="shared" si="3"/>
        <v>0</v>
      </c>
      <c r="W10" s="139">
        <f t="shared" si="3"/>
        <v>0</v>
      </c>
      <c r="X10" s="139">
        <f t="shared" si="3"/>
        <v>0</v>
      </c>
      <c r="Y10" s="139">
        <f t="shared" si="3"/>
        <v>0</v>
      </c>
      <c r="Z10" s="139">
        <f t="shared" si="3"/>
        <v>0</v>
      </c>
      <c r="AA10" s="139">
        <f t="shared" si="3"/>
        <v>0</v>
      </c>
      <c r="AB10" s="139">
        <f t="shared" si="3"/>
        <v>0</v>
      </c>
      <c r="AC10" s="139">
        <f t="shared" si="3"/>
        <v>0</v>
      </c>
      <c r="AD10" s="139">
        <f t="shared" si="3"/>
        <v>0</v>
      </c>
      <c r="AE10" s="139">
        <f t="shared" si="3"/>
        <v>0</v>
      </c>
      <c r="AF10" s="139">
        <f t="shared" si="3"/>
        <v>0</v>
      </c>
      <c r="AG10" s="139">
        <f t="shared" si="3"/>
        <v>0</v>
      </c>
      <c r="AH10" s="139" t="e">
        <f t="shared" si="3"/>
        <v>#DIV/0!</v>
      </c>
    </row>
  </sheetData>
  <mergeCells count="10">
    <mergeCell ref="A7:B7"/>
    <mergeCell ref="A8:B8"/>
    <mergeCell ref="A9:B9"/>
    <mergeCell ref="A10:B10"/>
    <mergeCell ref="A1:B1"/>
    <mergeCell ref="A2:B2"/>
    <mergeCell ref="A3:B3"/>
    <mergeCell ref="A4:B4"/>
    <mergeCell ref="A5:B5"/>
    <mergeCell ref="A6:B6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OEE总综合效率表</vt:lpstr>
      <vt:lpstr>推移图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S31106868hb</cp:lastModifiedBy>
  <cp:lastPrinted>2022-09-06T06:34:54Z</cp:lastPrinted>
  <dcterms:created xsi:type="dcterms:W3CDTF">2020-10-21T01:52:45Z</dcterms:created>
  <dcterms:modified xsi:type="dcterms:W3CDTF">2024-12-10T08:19:06Z</dcterms:modified>
</cp:coreProperties>
</file>