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autoCompressPictures="0" defaultThemeVersion="124226"/>
  <bookViews>
    <workbookView xWindow="14505" yWindow="-15" windowWidth="14340" windowHeight="12540"/>
  </bookViews>
  <sheets>
    <sheet name="2025年加工设备故障率统计（含兴塔厂设备）" sheetId="11" r:id="rId1"/>
  </sheets>
  <calcPr calcId="125725"/>
</workbook>
</file>

<file path=xl/calcChain.xml><?xml version="1.0" encoding="utf-8"?>
<calcChain xmlns="http://schemas.openxmlformats.org/spreadsheetml/2006/main">
  <c r="S6" i="11"/>
  <c r="S7"/>
  <c r="J7"/>
  <c r="J6"/>
  <c r="N4"/>
  <c r="R4"/>
  <c r="R3"/>
  <c r="E6"/>
  <c r="E7"/>
  <c r="E8"/>
  <c r="I7"/>
  <c r="I6"/>
  <c r="R7"/>
  <c r="R6"/>
  <c r="R8" s="1"/>
  <c r="N6"/>
  <c r="N7"/>
  <c r="N3"/>
  <c r="S4"/>
  <c r="S3"/>
  <c r="J3"/>
  <c r="I4"/>
  <c r="I3"/>
  <c r="I5" s="1"/>
  <c r="E4"/>
  <c r="E3"/>
  <c r="N8"/>
  <c r="C8"/>
  <c r="D8"/>
  <c r="F8"/>
  <c r="G8"/>
  <c r="H8"/>
  <c r="H11" s="1"/>
  <c r="K8"/>
  <c r="L8"/>
  <c r="M8"/>
  <c r="O8"/>
  <c r="P8"/>
  <c r="Q8"/>
  <c r="Q11" s="1"/>
  <c r="B8"/>
  <c r="C5"/>
  <c r="D5"/>
  <c r="D11" s="1"/>
  <c r="F5"/>
  <c r="G5"/>
  <c r="H5"/>
  <c r="K5"/>
  <c r="L5"/>
  <c r="L11" s="1"/>
  <c r="M5"/>
  <c r="O5"/>
  <c r="P5"/>
  <c r="Q5"/>
  <c r="B5"/>
  <c r="B9"/>
  <c r="Q10"/>
  <c r="P10"/>
  <c r="O10"/>
  <c r="Q9"/>
  <c r="P9"/>
  <c r="O9"/>
  <c r="J8" l="1"/>
  <c r="S8"/>
  <c r="I8"/>
  <c r="R5"/>
  <c r="N5"/>
  <c r="J4"/>
  <c r="J5" s="1"/>
  <c r="E5"/>
  <c r="B11"/>
  <c r="O11"/>
  <c r="M11"/>
  <c r="C11"/>
  <c r="P11"/>
  <c r="K11"/>
  <c r="G11"/>
  <c r="F11"/>
  <c r="M10"/>
  <c r="M9"/>
  <c r="S5" l="1"/>
  <c r="R10"/>
  <c r="R9"/>
  <c r="I9"/>
  <c r="R11"/>
  <c r="N10"/>
  <c r="N9"/>
  <c r="E9"/>
  <c r="L9"/>
  <c r="L10"/>
  <c r="J9" l="1"/>
  <c r="S9"/>
  <c r="N11"/>
  <c r="K9"/>
  <c r="K10" l="1"/>
  <c r="H9"/>
  <c r="H10" l="1"/>
  <c r="G9" l="1"/>
  <c r="G10"/>
  <c r="F9" l="1"/>
  <c r="I10"/>
  <c r="I11" l="1"/>
  <c r="F10"/>
  <c r="D9"/>
  <c r="D10"/>
  <c r="S10" l="1"/>
  <c r="J10" l="1"/>
  <c r="E10"/>
  <c r="C10"/>
  <c r="C9"/>
  <c r="B10" l="1"/>
  <c r="E11"/>
  <c r="J11" l="1"/>
  <c r="S11"/>
</calcChain>
</file>

<file path=xl/comments1.xml><?xml version="1.0" encoding="utf-8"?>
<comments xmlns="http://schemas.openxmlformats.org/spreadsheetml/2006/main">
  <authors>
    <author>C1038</author>
  </authors>
  <commentList>
    <comment ref="T4" authorId="0">
      <text>
        <r>
          <rPr>
            <sz val="9"/>
            <color indexed="81"/>
            <rFont val="Tahoma"/>
            <family val="2"/>
          </rPr>
          <t xml:space="preserve">2025/12/10
</t>
        </r>
        <r>
          <rPr>
            <sz val="9"/>
            <color indexed="81"/>
            <rFont val="宋体"/>
            <family val="3"/>
            <charset val="134"/>
          </rPr>
          <t xml:space="preserve">会议确认：
</t>
        </r>
        <r>
          <rPr>
            <sz val="9"/>
            <color indexed="81"/>
            <rFont val="Tahoma"/>
            <family val="2"/>
          </rPr>
          <t>NSM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CG</t>
        </r>
        <r>
          <rPr>
            <sz val="9"/>
            <color indexed="81"/>
            <rFont val="宋体"/>
            <family val="3"/>
            <charset val="134"/>
          </rPr>
          <t>：默认满负荷（即：运行</t>
        </r>
        <r>
          <rPr>
            <sz val="9"/>
            <color indexed="81"/>
            <rFont val="Tahoma"/>
            <family val="2"/>
          </rPr>
          <t>1440</t>
        </r>
        <r>
          <rPr>
            <sz val="9"/>
            <color indexed="81"/>
            <rFont val="宋体"/>
            <family val="3"/>
            <charset val="134"/>
          </rPr>
          <t>分钟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台）
</t>
        </r>
        <r>
          <rPr>
            <sz val="9"/>
            <color indexed="81"/>
            <rFont val="Tahoma"/>
            <family val="2"/>
          </rPr>
          <t>NM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NL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宋体"/>
            <family val="3"/>
            <charset val="134"/>
          </rPr>
          <t>：不计算，因基本不会故障</t>
        </r>
      </text>
    </comment>
  </commentList>
</comments>
</file>

<file path=xl/sharedStrings.xml><?xml version="1.0" encoding="utf-8"?>
<sst xmlns="http://schemas.openxmlformats.org/spreadsheetml/2006/main" count="37" uniqueCount="35">
  <si>
    <r>
      <t>3月</t>
    </r>
    <r>
      <rPr>
        <sz val="10"/>
        <rFont val="宋体"/>
        <family val="3"/>
        <charset val="134"/>
      </rPr>
      <t/>
    </r>
  </si>
  <si>
    <r>
      <t>4月</t>
    </r>
    <r>
      <rPr>
        <sz val="10"/>
        <rFont val="宋体"/>
        <family val="3"/>
        <charset val="134"/>
      </rPr>
      <t/>
    </r>
  </si>
  <si>
    <r>
      <t>5月</t>
    </r>
    <r>
      <rPr>
        <sz val="10"/>
        <rFont val="宋体"/>
        <family val="3"/>
        <charset val="134"/>
      </rPr>
      <t/>
    </r>
  </si>
  <si>
    <r>
      <t>6月</t>
    </r>
    <r>
      <rPr>
        <sz val="10"/>
        <rFont val="宋体"/>
        <family val="3"/>
        <charset val="134"/>
      </rPr>
      <t/>
    </r>
  </si>
  <si>
    <r>
      <t>7月</t>
    </r>
    <r>
      <rPr>
        <sz val="10"/>
        <rFont val="宋体"/>
        <family val="3"/>
        <charset val="134"/>
      </rPr>
      <t/>
    </r>
  </si>
  <si>
    <r>
      <t>8月</t>
    </r>
    <r>
      <rPr>
        <sz val="10"/>
        <rFont val="宋体"/>
        <family val="3"/>
        <charset val="134"/>
      </rPr>
      <t/>
    </r>
  </si>
  <si>
    <r>
      <t>9月</t>
    </r>
    <r>
      <rPr>
        <sz val="10"/>
        <rFont val="宋体"/>
        <family val="3"/>
        <charset val="134"/>
      </rPr>
      <t/>
    </r>
  </si>
  <si>
    <r>
      <t>10月</t>
    </r>
    <r>
      <rPr>
        <sz val="10"/>
        <rFont val="宋体"/>
        <family val="3"/>
        <charset val="134"/>
      </rPr>
      <t/>
    </r>
  </si>
  <si>
    <r>
      <t>11月</t>
    </r>
    <r>
      <rPr>
        <sz val="10"/>
        <rFont val="宋体"/>
        <family val="3"/>
        <charset val="134"/>
      </rPr>
      <t/>
    </r>
  </si>
  <si>
    <r>
      <t>12月</t>
    </r>
    <r>
      <rPr>
        <sz val="10"/>
        <rFont val="宋体"/>
        <family val="3"/>
        <charset val="134"/>
      </rPr>
      <t/>
    </r>
  </si>
  <si>
    <t>1月</t>
    <phoneticPr fontId="5" type="noConversion"/>
  </si>
  <si>
    <t>2月</t>
    <phoneticPr fontId="5" type="noConversion"/>
  </si>
  <si>
    <t>Q1</t>
    <phoneticPr fontId="5" type="noConversion"/>
  </si>
  <si>
    <t>Q2</t>
    <phoneticPr fontId="5" type="noConversion"/>
  </si>
  <si>
    <t>上半年</t>
    <phoneticPr fontId="5" type="noConversion"/>
  </si>
  <si>
    <t>Q3</t>
    <phoneticPr fontId="5" type="noConversion"/>
  </si>
  <si>
    <t>Q4</t>
    <phoneticPr fontId="5" type="noConversion"/>
  </si>
  <si>
    <t>全年</t>
    <phoneticPr fontId="5" type="noConversion"/>
  </si>
  <si>
    <t>说明</t>
    <phoneticPr fontId="5" type="noConversion"/>
  </si>
  <si>
    <t>方型负荷时间</t>
    <phoneticPr fontId="5" type="noConversion"/>
  </si>
  <si>
    <t>圆型负荷时间</t>
    <phoneticPr fontId="5" type="noConversion"/>
  </si>
  <si>
    <t>总负荷时间</t>
    <phoneticPr fontId="5" type="noConversion"/>
  </si>
  <si>
    <t>方型故障停线时间</t>
    <phoneticPr fontId="5" type="noConversion"/>
  </si>
  <si>
    <t>圆型故障停线时间</t>
    <phoneticPr fontId="5" type="noConversion"/>
  </si>
  <si>
    <t>总故障停线时间</t>
    <phoneticPr fontId="5" type="noConversion"/>
  </si>
  <si>
    <t>方型故障停线率</t>
    <phoneticPr fontId="5" type="noConversion"/>
  </si>
  <si>
    <t>圆型故障停线率</t>
    <phoneticPr fontId="5" type="noConversion"/>
  </si>
  <si>
    <t>项目/月份</t>
    <phoneticPr fontId="5" type="noConversion"/>
  </si>
  <si>
    <t xml:space="preserve">设备故障率= ∑设备故障停线时间/ ∑设备应使用时间（负荷时间）
</t>
    <phoneticPr fontId="5" type="noConversion"/>
  </si>
  <si>
    <t>2025年设备故障停线率统计</t>
  </si>
  <si>
    <t>总故障停线率</t>
    <phoneticPr fontId="5" type="noConversion"/>
  </si>
  <si>
    <r>
      <t>数据来源于：“维修履历表”中“停机时间”
设备管理系统中“维修历史查询”的"维修履历表"之</t>
    </r>
    <r>
      <rPr>
        <sz val="10"/>
        <color rgb="FFFF0000"/>
        <rFont val="宋体"/>
        <family val="3"/>
        <charset val="134"/>
        <scheme val="minor"/>
      </rPr>
      <t>“</t>
    </r>
    <r>
      <rPr>
        <u/>
        <sz val="10"/>
        <color rgb="FFFF0000"/>
        <rFont val="宋体"/>
        <family val="3"/>
        <charset val="134"/>
        <scheme val="minor"/>
      </rPr>
      <t>停机时间(维修完成开始时间点-停机开始时间点)”(此列)</t>
    </r>
    <r>
      <rPr>
        <sz val="10"/>
        <rFont val="宋体"/>
        <family val="3"/>
        <charset val="134"/>
        <scheme val="minor"/>
      </rPr>
      <t>上有数值的和
因当天生管安排1440生产，但因设备故障，当天的故障停线时间来源：设备管理系统中“综合效率表”的</t>
    </r>
    <r>
      <rPr>
        <u/>
        <sz val="10"/>
        <color rgb="FFFF0000"/>
        <rFont val="宋体"/>
        <family val="3"/>
        <charset val="134"/>
        <scheme val="minor"/>
      </rPr>
      <t>"设备故障时间(设备管理系统)”(此列)</t>
    </r>
    <phoneticPr fontId="5" type="noConversion"/>
  </si>
  <si>
    <t>数据来源截图</t>
    <phoneticPr fontId="5" type="noConversion"/>
  </si>
  <si>
    <r>
      <t>设备：FMS、M/C、立式加工机的负荷时间之和
生管安排停机的时候，负荷就为"0"；
1440-生管计划停机时间{设备管理系统中“综合效率表”的</t>
    </r>
    <r>
      <rPr>
        <u/>
        <sz val="10"/>
        <color rgb="FFFF0000"/>
        <rFont val="宋体"/>
        <family val="3"/>
        <charset val="134"/>
        <scheme val="minor"/>
      </rPr>
      <t>“生管计划停机时间”(此列)</t>
    </r>
    <r>
      <rPr>
        <sz val="10"/>
        <rFont val="宋体"/>
        <family val="3"/>
        <charset val="134"/>
        <scheme val="minor"/>
      </rPr>
      <t>}</t>
    </r>
    <phoneticPr fontId="5" type="noConversion"/>
  </si>
  <si>
    <r>
      <t>设备：</t>
    </r>
    <r>
      <rPr>
        <sz val="10"/>
        <color rgb="FFFF0000"/>
        <rFont val="宋体"/>
        <family val="3"/>
        <charset val="134"/>
        <scheme val="minor"/>
      </rPr>
      <t>KAPP*8、NSM*9、CG*15</t>
    </r>
    <r>
      <rPr>
        <sz val="10"/>
        <rFont val="宋体"/>
        <family val="3"/>
        <charset val="134"/>
        <scheme val="minor"/>
      </rPr>
      <t>的负荷时间之和
NSM、CG：默认满负荷（即：1440分钟/台初版），后期按设备比例进行</t>
    </r>
    <phoneticPr fontId="5" type="noConversion"/>
  </si>
</sst>
</file>

<file path=xl/styles.xml><?xml version="1.0" encoding="utf-8"?>
<styleSheet xmlns="http://schemas.openxmlformats.org/spreadsheetml/2006/main">
  <fonts count="21"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新細明體"/>
      <family val="1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20"/>
      <name val="Calibri"/>
      <family val="2"/>
    </font>
    <font>
      <sz val="10"/>
      <color rgb="FFFF0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u/>
      <sz val="10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9" fontId="3" fillId="0" borderId="0" applyFont="0" applyFill="0" applyBorder="0" applyAlignment="0" applyProtection="0"/>
    <xf numFmtId="0" fontId="10" fillId="2" borderId="0" applyNumberFormat="0" applyBorder="0" applyAlignment="0" applyProtection="0">
      <alignment vertical="center"/>
    </xf>
    <xf numFmtId="0" fontId="9" fillId="0" borderId="0"/>
    <xf numFmtId="0" fontId="6" fillId="0" borderId="0"/>
    <xf numFmtId="0" fontId="4" fillId="0" borderId="0"/>
    <xf numFmtId="0" fontId="11" fillId="3" borderId="0" applyNumberFormat="0" applyBorder="0" applyAlignment="0" applyProtection="0">
      <alignment vertical="center"/>
    </xf>
    <xf numFmtId="0" fontId="12" fillId="4" borderId="1" applyNumberFormat="0" applyAlignment="0" applyProtection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23">
    <xf numFmtId="0" fontId="0" fillId="0" borderId="0" xfId="0"/>
    <xf numFmtId="0" fontId="13" fillId="0" borderId="2" xfId="0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/>
    </xf>
    <xf numFmtId="0" fontId="13" fillId="0" borderId="2" xfId="6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10" fontId="17" fillId="0" borderId="2" xfId="1" applyNumberFormat="1" applyFont="1" applyFill="1" applyBorder="1" applyAlignment="1">
      <alignment horizontal="center" vertical="center"/>
    </xf>
    <xf numFmtId="10" fontId="17" fillId="5" borderId="2" xfId="1" applyNumberFormat="1" applyFont="1" applyFill="1" applyBorder="1" applyAlignment="1">
      <alignment horizontal="center" vertical="center"/>
    </xf>
    <xf numFmtId="10" fontId="17" fillId="6" borderId="2" xfId="1" applyNumberFormat="1" applyFont="1" applyFill="1" applyBorder="1" applyAlignment="1">
      <alignment horizontal="center" vertical="center"/>
    </xf>
    <xf numFmtId="0" fontId="12" fillId="4" borderId="5" xfId="7" applyFont="1" applyBorder="1" applyAlignment="1">
      <alignment horizontal="center" vertical="center"/>
    </xf>
    <xf numFmtId="0" fontId="12" fillId="4" borderId="3" xfId="7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13">
    <cellStyle name="百分比" xfId="1" builtinId="5"/>
    <cellStyle name="百分比 2" xfId="11"/>
    <cellStyle name="差" xfId="2" builtinId="27"/>
    <cellStyle name="常规" xfId="0" builtinId="0"/>
    <cellStyle name="常规 2" xfId="3"/>
    <cellStyle name="常规 3" xfId="4"/>
    <cellStyle name="常规 4" xfId="5"/>
    <cellStyle name="常规 4 2" xfId="12"/>
    <cellStyle name="常规 5" xfId="9"/>
    <cellStyle name="常规 6" xfId="10"/>
    <cellStyle name="好" xfId="6" builtinId="26"/>
    <cellStyle name="检查单元格" xfId="7" builtinId="23"/>
    <cellStyle name="一般_TPS培训教材-原丰田工程师亲讲-TPS-表格设备履历表實例(XLS)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39413</xdr:colOff>
      <xdr:row>2</xdr:row>
      <xdr:rowOff>111673</xdr:rowOff>
    </xdr:from>
    <xdr:to>
      <xdr:col>20</xdr:col>
      <xdr:colOff>1119413</xdr:colOff>
      <xdr:row>2</xdr:row>
      <xdr:rowOff>694876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64051" y="762001"/>
          <a:ext cx="1080000" cy="583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6569</xdr:colOff>
      <xdr:row>5</xdr:row>
      <xdr:rowOff>6570</xdr:rowOff>
    </xdr:from>
    <xdr:to>
      <xdr:col>20</xdr:col>
      <xdr:colOff>1086569</xdr:colOff>
      <xdr:row>5</xdr:row>
      <xdr:rowOff>529885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831207" y="2450225"/>
          <a:ext cx="1080000" cy="523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19707</xdr:colOff>
      <xdr:row>6</xdr:row>
      <xdr:rowOff>6570</xdr:rowOff>
    </xdr:from>
    <xdr:to>
      <xdr:col>20</xdr:col>
      <xdr:colOff>1099707</xdr:colOff>
      <xdr:row>6</xdr:row>
      <xdr:rowOff>600466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844345" y="3015156"/>
          <a:ext cx="1080000" cy="5938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U11"/>
  <sheetViews>
    <sheetView showGridLines="0" tabSelected="1" zoomScale="145" zoomScaleNormal="14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7" sqref="S7"/>
    </sheetView>
  </sheetViews>
  <sheetFormatPr defaultColWidth="9.140625" defaultRowHeight="12"/>
  <cols>
    <col min="1" max="1" width="16.85546875" style="6" bestFit="1" customWidth="1"/>
    <col min="2" max="5" width="8.85546875" style="9" bestFit="1" customWidth="1"/>
    <col min="6" max="9" width="8.7109375" style="9" customWidth="1"/>
    <col min="10" max="10" width="9" style="9" bestFit="1" customWidth="1"/>
    <col min="11" max="16" width="8.85546875" style="9" bestFit="1" customWidth="1"/>
    <col min="17" max="17" width="9.7109375" style="9" bestFit="1" customWidth="1"/>
    <col min="18" max="18" width="8.7109375" style="9" customWidth="1"/>
    <col min="19" max="19" width="8.85546875" style="9" bestFit="1" customWidth="1"/>
    <col min="20" max="20" width="60.85546875" style="6" customWidth="1"/>
    <col min="21" max="21" width="17" style="6" customWidth="1"/>
    <col min="22" max="16384" width="9.140625" style="6"/>
  </cols>
  <sheetData>
    <row r="1" spans="1:21" ht="26.2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7" customFormat="1" ht="24.75" customHeight="1">
      <c r="A2" s="15" t="s">
        <v>27</v>
      </c>
      <c r="B2" s="16" t="s">
        <v>10</v>
      </c>
      <c r="C2" s="16" t="s">
        <v>11</v>
      </c>
      <c r="D2" s="16" t="s">
        <v>0</v>
      </c>
      <c r="E2" s="16" t="s">
        <v>12</v>
      </c>
      <c r="F2" s="16" t="s">
        <v>1</v>
      </c>
      <c r="G2" s="16" t="s">
        <v>2</v>
      </c>
      <c r="H2" s="16" t="s">
        <v>3</v>
      </c>
      <c r="I2" s="16" t="s">
        <v>13</v>
      </c>
      <c r="J2" s="16" t="s">
        <v>14</v>
      </c>
      <c r="K2" s="16" t="s">
        <v>4</v>
      </c>
      <c r="L2" s="16" t="s">
        <v>5</v>
      </c>
      <c r="M2" s="16" t="s">
        <v>6</v>
      </c>
      <c r="N2" s="16" t="s">
        <v>15</v>
      </c>
      <c r="O2" s="16" t="s">
        <v>7</v>
      </c>
      <c r="P2" s="16" t="s">
        <v>8</v>
      </c>
      <c r="Q2" s="16" t="s">
        <v>9</v>
      </c>
      <c r="R2" s="16" t="s">
        <v>16</v>
      </c>
      <c r="S2" s="16" t="s">
        <v>17</v>
      </c>
      <c r="T2" s="16" t="s">
        <v>18</v>
      </c>
      <c r="U2" s="16" t="s">
        <v>32</v>
      </c>
    </row>
    <row r="3" spans="1:21" s="8" customFormat="1" ht="63" customHeight="1">
      <c r="A3" s="2" t="s">
        <v>19</v>
      </c>
      <c r="B3" s="2"/>
      <c r="C3" s="2"/>
      <c r="D3" s="2"/>
      <c r="E3" s="4">
        <f>SUM(B3:D3)</f>
        <v>0</v>
      </c>
      <c r="F3" s="2"/>
      <c r="G3" s="2"/>
      <c r="H3" s="2"/>
      <c r="I3" s="4">
        <f>SUM(F3:H3)</f>
        <v>0</v>
      </c>
      <c r="J3" s="5">
        <f>SUM(E3,I3)</f>
        <v>0</v>
      </c>
      <c r="K3" s="2"/>
      <c r="L3" s="2"/>
      <c r="M3" s="2"/>
      <c r="N3" s="4">
        <f>SUM(K3:M3)</f>
        <v>0</v>
      </c>
      <c r="O3" s="2"/>
      <c r="P3" s="2"/>
      <c r="Q3" s="2"/>
      <c r="R3" s="4">
        <f>SUM(O3:Q3)</f>
        <v>0</v>
      </c>
      <c r="S3" s="5">
        <f>SUM(B3:D3,F3:H3,K3:M3,O3:Q3)</f>
        <v>0</v>
      </c>
      <c r="T3" s="10" t="s">
        <v>33</v>
      </c>
      <c r="U3" s="17"/>
    </row>
    <row r="4" spans="1:21" s="8" customFormat="1" ht="48" customHeight="1">
      <c r="A4" s="2" t="s">
        <v>20</v>
      </c>
      <c r="B4" s="2"/>
      <c r="C4" s="2"/>
      <c r="D4" s="2"/>
      <c r="E4" s="4">
        <f>SUM(B4:D4)</f>
        <v>0</v>
      </c>
      <c r="F4" s="2"/>
      <c r="G4" s="2"/>
      <c r="H4" s="2"/>
      <c r="I4" s="4">
        <f>SUM(F4:H4)</f>
        <v>0</v>
      </c>
      <c r="J4" s="5">
        <f>SUM(E4,I4)</f>
        <v>0</v>
      </c>
      <c r="K4" s="2"/>
      <c r="L4" s="2"/>
      <c r="M4" s="2"/>
      <c r="N4" s="4">
        <f>SUM(K4:M4)</f>
        <v>0</v>
      </c>
      <c r="O4" s="2"/>
      <c r="P4" s="2"/>
      <c r="Q4" s="2"/>
      <c r="R4" s="4">
        <f>SUM(O4:Q4)</f>
        <v>0</v>
      </c>
      <c r="S4" s="5">
        <f>SUM(B4:D4,F4:H4,K4:M4,O4:Q4)</f>
        <v>0</v>
      </c>
      <c r="T4" s="10" t="s">
        <v>34</v>
      </c>
      <c r="U4" s="17"/>
    </row>
    <row r="5" spans="1:21" s="8" customFormat="1" ht="30" customHeight="1">
      <c r="A5" s="2" t="s">
        <v>21</v>
      </c>
      <c r="B5" s="2">
        <f>SUM(B3:B4)</f>
        <v>0</v>
      </c>
      <c r="C5" s="2">
        <f t="shared" ref="C5:R5" si="0">SUM(C3:C4)</f>
        <v>0</v>
      </c>
      <c r="D5" s="2">
        <f t="shared" si="0"/>
        <v>0</v>
      </c>
      <c r="E5" s="2">
        <f t="shared" si="0"/>
        <v>0</v>
      </c>
      <c r="F5" s="2">
        <f t="shared" si="0"/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0</v>
      </c>
      <c r="R5" s="2">
        <f t="shared" si="0"/>
        <v>0</v>
      </c>
      <c r="S5" s="2">
        <f>SUM(S3:S4)</f>
        <v>0</v>
      </c>
      <c r="T5" s="11"/>
      <c r="U5" s="17"/>
    </row>
    <row r="6" spans="1:21" s="8" customFormat="1" ht="44.25" customHeight="1">
      <c r="A6" s="1" t="s">
        <v>22</v>
      </c>
      <c r="B6" s="2"/>
      <c r="C6" s="1"/>
      <c r="D6" s="1"/>
      <c r="E6" s="4">
        <f>SUM(B6:D6)</f>
        <v>0</v>
      </c>
      <c r="F6" s="1"/>
      <c r="G6" s="1"/>
      <c r="H6" s="1"/>
      <c r="I6" s="4">
        <f>SUM(F6:H6)</f>
        <v>0</v>
      </c>
      <c r="J6" s="5">
        <f>SUM(E6,I6)</f>
        <v>0</v>
      </c>
      <c r="K6" s="1"/>
      <c r="L6" s="1"/>
      <c r="M6" s="1"/>
      <c r="N6" s="4">
        <f>SUM(K6:M6)</f>
        <v>0</v>
      </c>
      <c r="O6" s="1"/>
      <c r="P6" s="1"/>
      <c r="Q6" s="1"/>
      <c r="R6" s="4">
        <f>SUM(O6:Q6)</f>
        <v>0</v>
      </c>
      <c r="S6" s="5">
        <f>SUM(B6:D6,F6:H6,K6:M6,O6:Q6)</f>
        <v>0</v>
      </c>
      <c r="T6" s="18" t="s">
        <v>31</v>
      </c>
      <c r="U6" s="21"/>
    </row>
    <row r="7" spans="1:21" s="8" customFormat="1" ht="48.75" customHeight="1">
      <c r="A7" s="1" t="s">
        <v>23</v>
      </c>
      <c r="B7" s="3"/>
      <c r="C7" s="3"/>
      <c r="D7" s="3"/>
      <c r="E7" s="4">
        <f>SUM(B7:D7)</f>
        <v>0</v>
      </c>
      <c r="F7" s="3"/>
      <c r="G7" s="3"/>
      <c r="H7" s="3"/>
      <c r="I7" s="4">
        <f>SUM(F7:H7)</f>
        <v>0</v>
      </c>
      <c r="J7" s="5">
        <f>SUM(E7,I7)</f>
        <v>0</v>
      </c>
      <c r="K7" s="3"/>
      <c r="L7" s="3"/>
      <c r="M7" s="3"/>
      <c r="N7" s="4">
        <f>SUM(K7:M7)</f>
        <v>0</v>
      </c>
      <c r="O7" s="3"/>
      <c r="P7" s="3"/>
      <c r="Q7" s="3"/>
      <c r="R7" s="4">
        <f>SUM(O7:Q7)</f>
        <v>0</v>
      </c>
      <c r="S7" s="5">
        <f>SUM(B7:D7,F7:H7,K7:M7,O7:Q7)</f>
        <v>0</v>
      </c>
      <c r="T7" s="19"/>
      <c r="U7" s="22"/>
    </row>
    <row r="8" spans="1:21" s="8" customFormat="1" ht="30" customHeight="1">
      <c r="A8" s="1" t="s">
        <v>24</v>
      </c>
      <c r="B8" s="3">
        <f>SUM(B6:B7)</f>
        <v>0</v>
      </c>
      <c r="C8" s="3">
        <f t="shared" ref="C8:S8" si="1">SUM(C6:C7)</f>
        <v>0</v>
      </c>
      <c r="D8" s="3">
        <f t="shared" si="1"/>
        <v>0</v>
      </c>
      <c r="E8" s="3">
        <f t="shared" si="1"/>
        <v>0</v>
      </c>
      <c r="F8" s="3">
        <f t="shared" si="1"/>
        <v>0</v>
      </c>
      <c r="G8" s="3">
        <f t="shared" si="1"/>
        <v>0</v>
      </c>
      <c r="H8" s="3">
        <f t="shared" si="1"/>
        <v>0</v>
      </c>
      <c r="I8" s="3">
        <f t="shared" si="1"/>
        <v>0</v>
      </c>
      <c r="J8" s="3">
        <f t="shared" si="1"/>
        <v>0</v>
      </c>
      <c r="K8" s="3">
        <f t="shared" si="1"/>
        <v>0</v>
      </c>
      <c r="L8" s="3">
        <f t="shared" si="1"/>
        <v>0</v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  <c r="S8" s="3">
        <f t="shared" si="1"/>
        <v>0</v>
      </c>
      <c r="T8" s="11"/>
      <c r="U8" s="17"/>
    </row>
    <row r="9" spans="1:21" s="8" customFormat="1" ht="30" customHeight="1">
      <c r="A9" s="1" t="s">
        <v>25</v>
      </c>
      <c r="B9" s="12" t="e">
        <f t="shared" ref="B9:S9" si="2">B6/B3</f>
        <v>#DIV/0!</v>
      </c>
      <c r="C9" s="12" t="e">
        <f t="shared" si="2"/>
        <v>#DIV/0!</v>
      </c>
      <c r="D9" s="12" t="e">
        <f t="shared" si="2"/>
        <v>#DIV/0!</v>
      </c>
      <c r="E9" s="13" t="e">
        <f t="shared" si="2"/>
        <v>#DIV/0!</v>
      </c>
      <c r="F9" s="12" t="e">
        <f t="shared" si="2"/>
        <v>#DIV/0!</v>
      </c>
      <c r="G9" s="12" t="e">
        <f t="shared" si="2"/>
        <v>#DIV/0!</v>
      </c>
      <c r="H9" s="12" t="e">
        <f t="shared" si="2"/>
        <v>#DIV/0!</v>
      </c>
      <c r="I9" s="13" t="e">
        <f t="shared" si="2"/>
        <v>#DIV/0!</v>
      </c>
      <c r="J9" s="14" t="e">
        <f t="shared" si="2"/>
        <v>#DIV/0!</v>
      </c>
      <c r="K9" s="12" t="e">
        <f t="shared" si="2"/>
        <v>#DIV/0!</v>
      </c>
      <c r="L9" s="12" t="e">
        <f t="shared" si="2"/>
        <v>#DIV/0!</v>
      </c>
      <c r="M9" s="12" t="e">
        <f t="shared" si="2"/>
        <v>#DIV/0!</v>
      </c>
      <c r="N9" s="13" t="e">
        <f t="shared" si="2"/>
        <v>#DIV/0!</v>
      </c>
      <c r="O9" s="12" t="e">
        <f t="shared" si="2"/>
        <v>#DIV/0!</v>
      </c>
      <c r="P9" s="12" t="e">
        <f t="shared" si="2"/>
        <v>#DIV/0!</v>
      </c>
      <c r="Q9" s="12" t="e">
        <f t="shared" si="2"/>
        <v>#DIV/0!</v>
      </c>
      <c r="R9" s="13" t="e">
        <f t="shared" si="2"/>
        <v>#DIV/0!</v>
      </c>
      <c r="S9" s="14" t="e">
        <f t="shared" si="2"/>
        <v>#DIV/0!</v>
      </c>
      <c r="T9" s="10" t="s">
        <v>28</v>
      </c>
      <c r="U9" s="17"/>
    </row>
    <row r="10" spans="1:21" s="8" customFormat="1" ht="30" customHeight="1">
      <c r="A10" s="1" t="s">
        <v>26</v>
      </c>
      <c r="B10" s="12" t="e">
        <f t="shared" ref="B10:S10" si="3">B7/B4</f>
        <v>#DIV/0!</v>
      </c>
      <c r="C10" s="12" t="e">
        <f t="shared" si="3"/>
        <v>#DIV/0!</v>
      </c>
      <c r="D10" s="12" t="e">
        <f t="shared" si="3"/>
        <v>#DIV/0!</v>
      </c>
      <c r="E10" s="13" t="e">
        <f t="shared" si="3"/>
        <v>#DIV/0!</v>
      </c>
      <c r="F10" s="12" t="e">
        <f t="shared" si="3"/>
        <v>#DIV/0!</v>
      </c>
      <c r="G10" s="12" t="e">
        <f t="shared" si="3"/>
        <v>#DIV/0!</v>
      </c>
      <c r="H10" s="12" t="e">
        <f t="shared" si="3"/>
        <v>#DIV/0!</v>
      </c>
      <c r="I10" s="13" t="e">
        <f t="shared" si="3"/>
        <v>#DIV/0!</v>
      </c>
      <c r="J10" s="14" t="e">
        <f t="shared" si="3"/>
        <v>#DIV/0!</v>
      </c>
      <c r="K10" s="12" t="e">
        <f t="shared" si="3"/>
        <v>#DIV/0!</v>
      </c>
      <c r="L10" s="12" t="e">
        <f t="shared" si="3"/>
        <v>#DIV/0!</v>
      </c>
      <c r="M10" s="12" t="e">
        <f t="shared" si="3"/>
        <v>#DIV/0!</v>
      </c>
      <c r="N10" s="13" t="e">
        <f t="shared" si="3"/>
        <v>#DIV/0!</v>
      </c>
      <c r="O10" s="12" t="e">
        <f t="shared" si="3"/>
        <v>#DIV/0!</v>
      </c>
      <c r="P10" s="12" t="e">
        <f t="shared" si="3"/>
        <v>#DIV/0!</v>
      </c>
      <c r="Q10" s="12" t="e">
        <f t="shared" si="3"/>
        <v>#DIV/0!</v>
      </c>
      <c r="R10" s="13" t="e">
        <f t="shared" si="3"/>
        <v>#DIV/0!</v>
      </c>
      <c r="S10" s="14" t="e">
        <f t="shared" si="3"/>
        <v>#DIV/0!</v>
      </c>
      <c r="T10" s="10" t="s">
        <v>28</v>
      </c>
      <c r="U10" s="17"/>
    </row>
    <row r="11" spans="1:21" s="8" customFormat="1" ht="30" customHeight="1">
      <c r="A11" s="1" t="s">
        <v>30</v>
      </c>
      <c r="B11" s="12" t="e">
        <f t="shared" ref="B11:S11" si="4">B8/B5</f>
        <v>#DIV/0!</v>
      </c>
      <c r="C11" s="12" t="e">
        <f t="shared" si="4"/>
        <v>#DIV/0!</v>
      </c>
      <c r="D11" s="12" t="e">
        <f t="shared" si="4"/>
        <v>#DIV/0!</v>
      </c>
      <c r="E11" s="13" t="e">
        <f t="shared" si="4"/>
        <v>#DIV/0!</v>
      </c>
      <c r="F11" s="12" t="e">
        <f t="shared" si="4"/>
        <v>#DIV/0!</v>
      </c>
      <c r="G11" s="12" t="e">
        <f t="shared" si="4"/>
        <v>#DIV/0!</v>
      </c>
      <c r="H11" s="12" t="e">
        <f t="shared" si="4"/>
        <v>#DIV/0!</v>
      </c>
      <c r="I11" s="13" t="e">
        <f t="shared" si="4"/>
        <v>#DIV/0!</v>
      </c>
      <c r="J11" s="14" t="e">
        <f t="shared" si="4"/>
        <v>#DIV/0!</v>
      </c>
      <c r="K11" s="12" t="e">
        <f t="shared" si="4"/>
        <v>#DIV/0!</v>
      </c>
      <c r="L11" s="12" t="e">
        <f t="shared" si="4"/>
        <v>#DIV/0!</v>
      </c>
      <c r="M11" s="12" t="e">
        <f t="shared" si="4"/>
        <v>#DIV/0!</v>
      </c>
      <c r="N11" s="13" t="e">
        <f t="shared" si="4"/>
        <v>#DIV/0!</v>
      </c>
      <c r="O11" s="12" t="e">
        <f t="shared" si="4"/>
        <v>#DIV/0!</v>
      </c>
      <c r="P11" s="12" t="e">
        <f t="shared" si="4"/>
        <v>#DIV/0!</v>
      </c>
      <c r="Q11" s="12" t="e">
        <f t="shared" si="4"/>
        <v>#DIV/0!</v>
      </c>
      <c r="R11" s="13" t="e">
        <f t="shared" si="4"/>
        <v>#DIV/0!</v>
      </c>
      <c r="S11" s="14" t="e">
        <f t="shared" si="4"/>
        <v>#DIV/0!</v>
      </c>
      <c r="T11" s="10" t="s">
        <v>28</v>
      </c>
      <c r="U11" s="17"/>
    </row>
  </sheetData>
  <mergeCells count="3">
    <mergeCell ref="T6:T7"/>
    <mergeCell ref="A1:U1"/>
    <mergeCell ref="U6:U7"/>
  </mergeCells>
  <phoneticPr fontId="5" type="noConversion"/>
  <printOptions horizontalCentered="1" verticalCentered="1"/>
  <pageMargins left="0" right="0" top="0.74803149606299213" bottom="0.74803149606299213" header="0.31496062992125984" footer="0.31496062992125984"/>
  <pageSetup paperSize="9"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2025年加工设备故障率统计（含兴塔厂设备）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S31106868hb</cp:lastModifiedBy>
  <cp:lastPrinted>2023-10-14T00:56:40Z</cp:lastPrinted>
  <dcterms:created xsi:type="dcterms:W3CDTF">2020-10-21T01:52:45Z</dcterms:created>
  <dcterms:modified xsi:type="dcterms:W3CDTF">2025-12-16T09:35:11Z</dcterms:modified>
</cp:coreProperties>
</file>